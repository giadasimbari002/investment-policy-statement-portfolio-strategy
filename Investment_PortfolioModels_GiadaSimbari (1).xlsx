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ink/ink1.xml" ContentType="application/inkml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giadasimbari/Desktop/"/>
    </mc:Choice>
  </mc:AlternateContent>
  <xr:revisionPtr revIDLastSave="0" documentId="13_ncr:1_{36B6DE58-C691-204A-ADEF-54032E75F182}" xr6:coauthVersionLast="47" xr6:coauthVersionMax="47" xr10:uidLastSave="{00000000-0000-0000-0000-000000000000}"/>
  <bookViews>
    <workbookView xWindow="680" yWindow="500" windowWidth="20600" windowHeight="15580" activeTab="1" xr2:uid="{82C8B8E4-4911-7A43-BCED-EEA3E03DDBFC}"/>
  </bookViews>
  <sheets>
    <sheet name="Capital Allocation" sheetId="6" r:id="rId1"/>
    <sheet name="Asset Classes Allocation" sheetId="5" r:id="rId2"/>
    <sheet name="Security Allocation" sheetId="2" r:id="rId3"/>
    <sheet name="Data. Securities" sheetId="4" r:id="rId4"/>
    <sheet name="Data. Bond Duration &amp; Convexity" sheetId="7" r:id="rId5"/>
    <sheet name="QQQ ETF Stock 10yrs Prices " sheetId="8" r:id="rId6"/>
  </sheets>
  <externalReferences>
    <externalReference r:id="rId7"/>
    <externalReference r:id="rId8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Div1" localSheetId="3">#REF!</definedName>
    <definedName name="_Div1">#REF!</definedName>
    <definedName name="_Div2" localSheetId="3">#REF!</definedName>
    <definedName name="_Div2">#REF!</definedName>
    <definedName name="_Div3" localSheetId="3">#REF!</definedName>
    <definedName name="_Div3">#REF!</definedName>
    <definedName name="_Div4" localSheetId="3">#REF!</definedName>
    <definedName name="_Div4">#REF!</definedName>
    <definedName name="_Regression_Int">1</definedName>
    <definedName name="_xlchart.v1.0" hidden="1">'Capital Allocation'!$C$23:$C$33</definedName>
    <definedName name="_xlchart.v1.1" hidden="1">'Capital Allocation'!$D$23:$D$33</definedName>
    <definedName name="_xlchart.v1.2" hidden="1">'Capital Allocation'!$C$23:$C$33</definedName>
    <definedName name="_xlchart.v1.3" hidden="1">'Capital Allocation'!$D$23:$D$33</definedName>
    <definedName name="_xlchart.v1.4" hidden="1">'Capital Allocation'!$C$23:$C$33</definedName>
    <definedName name="_xlchart.v1.5" hidden="1">'Capital Allocation'!$D$23:$D$33</definedName>
    <definedName name="_xlchart.v1.6" hidden="1">'Capital Allocation'!$C$23:$C$33</definedName>
    <definedName name="_xlchart.v1.7" hidden="1">'Capital Allocation'!$D$23:$D$33</definedName>
    <definedName name="coup">[1]Convexity!$C$7</definedName>
    <definedName name="g_firm" localSheetId="4">#REF!</definedName>
    <definedName name="g_firm" localSheetId="3">#REF!</definedName>
    <definedName name="g_firm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42436.8542824074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k" localSheetId="4">#REF!</definedName>
    <definedName name="k" localSheetId="3">#REF!</definedName>
    <definedName name="k">#REF!</definedName>
    <definedName name="k_eq" localSheetId="3">#REF!</definedName>
    <definedName name="k_eq">#REF!</definedName>
    <definedName name="mat">[1]Convexity!$C$9</definedName>
    <definedName name="price">[1]Convexity!$C$10</definedName>
    <definedName name="Price4" localSheetId="4">#REF!</definedName>
    <definedName name="Price4" localSheetId="3">#REF!</definedName>
    <definedName name="Price4">#REF!</definedName>
    <definedName name="_xlnm.Print_Area" localSheetId="1">'Asset Classes Allocation'!$B$2:$G$40</definedName>
    <definedName name="_xlnm.Print_Area" localSheetId="4">#REF!</definedName>
    <definedName name="_xlnm.Print_Area" localSheetId="3">#REF!</definedName>
    <definedName name="_xlnm.Print_Area">#REF!</definedName>
    <definedName name="Print_Area_MI" localSheetId="3">#REF!</definedName>
    <definedName name="Print_Area_MI">#REF!</definedName>
    <definedName name="rdebt" localSheetId="3">#REF!</definedName>
    <definedName name="rdebt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elling_Price">'[2]Base Case'!$B$11</definedName>
    <definedName name="solver_adj" localSheetId="1" hidden="1">'Asset Classes Allocation'!$B$26</definedName>
    <definedName name="solver_adj" localSheetId="0" hidden="1">'Capital Allocation'!$D$11</definedName>
    <definedName name="solver_adj" localSheetId="2" hidden="1">'Security Allocation'!$E$54</definedName>
    <definedName name="solver_cvg" localSheetId="1" hidden="1">0.0001</definedName>
    <definedName name="solver_cvg" localSheetId="0" hidden="1">0.0001</definedName>
    <definedName name="solver_cvg" localSheetId="2" hidden="1">0.0001</definedName>
    <definedName name="solver_drv" localSheetId="1" hidden="1">1</definedName>
    <definedName name="solver_drv" localSheetId="0" hidden="1">1</definedName>
    <definedName name="solver_drv" localSheetId="2" hidden="1">1</definedName>
    <definedName name="solver_eng" localSheetId="1" hidden="1">1</definedName>
    <definedName name="solver_eng" localSheetId="0" hidden="1">1</definedName>
    <definedName name="solver_eng" localSheetId="2" hidden="1">1</definedName>
    <definedName name="solver_est" localSheetId="1" hidden="1">1</definedName>
    <definedName name="solver_itr" localSheetId="1" hidden="1">2147483647</definedName>
    <definedName name="solver_itr" localSheetId="0" hidden="1">2147483647</definedName>
    <definedName name="solver_itr" localSheetId="2" hidden="1">2147483647</definedName>
    <definedName name="solver_lhs1" localSheetId="1" hidden="1">'Asset Classes Allocation'!$B$26</definedName>
    <definedName name="solver_lhs1" localSheetId="0" hidden="1">'Capital Allocation'!$D$11</definedName>
    <definedName name="solver_lhs1" localSheetId="2" hidden="1">'Security Allocation'!$E$54</definedName>
    <definedName name="solver_lhs10" localSheetId="2" hidden="1">'Security Allocation'!$I$54</definedName>
    <definedName name="solver_lhs11" localSheetId="2" hidden="1">'Security Allocation'!$J$54</definedName>
    <definedName name="solver_lhs12" localSheetId="2" hidden="1">'Security Allocation'!$J$54</definedName>
    <definedName name="solver_lhs2" localSheetId="1" hidden="1">'Asset Classes Allocation'!$B$26</definedName>
    <definedName name="solver_lhs2" localSheetId="0" hidden="1">'Capital Allocation'!$D$11</definedName>
    <definedName name="solver_lhs2" localSheetId="2" hidden="1">'Security Allocation'!$E$54</definedName>
    <definedName name="solver_lhs3" localSheetId="1" hidden="1">'Asset Classes Allocation'!$F$26</definedName>
    <definedName name="solver_lhs3" localSheetId="2" hidden="1">'Security Allocation'!$F$54</definedName>
    <definedName name="solver_lhs4" localSheetId="2" hidden="1">'Security Allocation'!$F$54</definedName>
    <definedName name="solver_lhs5" localSheetId="2" hidden="1">'Security Allocation'!$G$54</definedName>
    <definedName name="solver_lhs6" localSheetId="2" hidden="1">'Security Allocation'!$G$54</definedName>
    <definedName name="solver_lhs7" localSheetId="2" hidden="1">'Security Allocation'!$H$54</definedName>
    <definedName name="solver_lhs8" localSheetId="2" hidden="1">'Security Allocation'!$H$54</definedName>
    <definedName name="solver_lhs9" localSheetId="2" hidden="1">'Security Allocation'!$I$54</definedName>
    <definedName name="solver_lin" localSheetId="1" hidden="1">2</definedName>
    <definedName name="solver_lin" localSheetId="0" hidden="1">2</definedName>
    <definedName name="solver_lin" localSheetId="2" hidden="1">2</definedName>
    <definedName name="solver_mip" localSheetId="1" hidden="1">2147483647</definedName>
    <definedName name="solver_mip" localSheetId="0" hidden="1">2147483647</definedName>
    <definedName name="solver_mip" localSheetId="2" hidden="1">2147483647</definedName>
    <definedName name="solver_mni" localSheetId="1" hidden="1">30</definedName>
    <definedName name="solver_mni" localSheetId="0" hidden="1">30</definedName>
    <definedName name="solver_mni" localSheetId="2" hidden="1">30</definedName>
    <definedName name="solver_mrt" localSheetId="1" hidden="1">0.075</definedName>
    <definedName name="solver_mrt" localSheetId="0" hidden="1">0.075</definedName>
    <definedName name="solver_mrt" localSheetId="2" hidden="1">0.075</definedName>
    <definedName name="solver_msl" localSheetId="1" hidden="1">2</definedName>
    <definedName name="solver_msl" localSheetId="0" hidden="1">2</definedName>
    <definedName name="solver_msl" localSheetId="2" hidden="1">2</definedName>
    <definedName name="solver_neg" localSheetId="1" hidden="1">1</definedName>
    <definedName name="solver_neg" localSheetId="0" hidden="1">1</definedName>
    <definedName name="solver_neg" localSheetId="2" hidden="1">1</definedName>
    <definedName name="solver_nod" localSheetId="1" hidden="1">2147483647</definedName>
    <definedName name="solver_nod" localSheetId="0" hidden="1">2147483647</definedName>
    <definedName name="solver_nod" localSheetId="2" hidden="1">2147483647</definedName>
    <definedName name="solver_num" localSheetId="1" hidden="1">3</definedName>
    <definedName name="solver_num" localSheetId="0" hidden="1">2</definedName>
    <definedName name="solver_num" localSheetId="2" hidden="1">2</definedName>
    <definedName name="solver_nwt" localSheetId="1" hidden="1">1</definedName>
    <definedName name="solver_opt" localSheetId="1" hidden="1">'Asset Classes Allocation'!$E$26</definedName>
    <definedName name="solver_opt" localSheetId="0" hidden="1">'Capital Allocation'!$D$18</definedName>
    <definedName name="solver_opt" localSheetId="2" hidden="1">'Security Allocation'!$C$58</definedName>
    <definedName name="solver_pre" localSheetId="1" hidden="1">0.000001</definedName>
    <definedName name="solver_pre" localSheetId="0" hidden="1">0.000001</definedName>
    <definedName name="solver_pre" localSheetId="2" hidden="1">0.000001</definedName>
    <definedName name="solver_rbv" localSheetId="1" hidden="1">1</definedName>
    <definedName name="solver_rbv" localSheetId="0" hidden="1">1</definedName>
    <definedName name="solver_rbv" localSheetId="2" hidden="1">1</definedName>
    <definedName name="solver_rel1" localSheetId="1" hidden="1">1</definedName>
    <definedName name="solver_rel1" localSheetId="0" hidden="1">1</definedName>
    <definedName name="solver_rel1" localSheetId="2" hidden="1">1</definedName>
    <definedName name="solver_rel10" localSheetId="2" hidden="1">3</definedName>
    <definedName name="solver_rel11" localSheetId="2" hidden="1">1</definedName>
    <definedName name="solver_rel12" localSheetId="2" hidden="1">3</definedName>
    <definedName name="solver_rel2" localSheetId="1" hidden="1">3</definedName>
    <definedName name="solver_rel2" localSheetId="0" hidden="1">3</definedName>
    <definedName name="solver_rel2" localSheetId="2" hidden="1">3</definedName>
    <definedName name="solver_rel3" localSheetId="1" hidden="1">3</definedName>
    <definedName name="solver_rel3" localSheetId="2" hidden="1">1</definedName>
    <definedName name="solver_rel4" localSheetId="2" hidden="1">3</definedName>
    <definedName name="solver_rel5" localSheetId="2" hidden="1">1</definedName>
    <definedName name="solver_rel6" localSheetId="2" hidden="1">3</definedName>
    <definedName name="solver_rel7" localSheetId="2" hidden="1">1</definedName>
    <definedName name="solver_rel8" localSheetId="2" hidden="1">3</definedName>
    <definedName name="solver_rel9" localSheetId="2" hidden="1">1</definedName>
    <definedName name="solver_rhs1" localSheetId="1" hidden="1">1</definedName>
    <definedName name="solver_rhs1" localSheetId="0" hidden="1">1</definedName>
    <definedName name="solver_rhs1" localSheetId="2" hidden="1">1</definedName>
    <definedName name="solver_rhs10" localSheetId="2" hidden="1">0</definedName>
    <definedName name="solver_rhs11" localSheetId="2" hidden="1">1</definedName>
    <definedName name="solver_rhs12" localSheetId="2" hidden="1">0</definedName>
    <definedName name="solver_rhs2" localSheetId="1" hidden="1">0</definedName>
    <definedName name="solver_rhs2" localSheetId="0" hidden="1">0</definedName>
    <definedName name="solver_rhs2" localSheetId="2" hidden="1">0</definedName>
    <definedName name="solver_rhs3" localSheetId="1" hidden="1">0</definedName>
    <definedName name="solver_rhs3" localSheetId="2" hidden="1">1</definedName>
    <definedName name="solver_rhs4" localSheetId="2" hidden="1">0</definedName>
    <definedName name="solver_rhs5" localSheetId="2" hidden="1">1</definedName>
    <definedName name="solver_rhs6" localSheetId="2" hidden="1">0</definedName>
    <definedName name="solver_rhs7" localSheetId="2" hidden="1">1</definedName>
    <definedName name="solver_rhs8" localSheetId="2" hidden="1">0</definedName>
    <definedName name="solver_rhs9" localSheetId="2" hidden="1">1</definedName>
    <definedName name="solver_rlx" localSheetId="1" hidden="1">2</definedName>
    <definedName name="solver_rlx" localSheetId="0" hidden="1">2</definedName>
    <definedName name="solver_rlx" localSheetId="2" hidden="1">2</definedName>
    <definedName name="solver_rsd" localSheetId="1" hidden="1">0</definedName>
    <definedName name="solver_rsd" localSheetId="0" hidden="1">0</definedName>
    <definedName name="solver_rsd" localSheetId="2" hidden="1">0</definedName>
    <definedName name="solver_scl" localSheetId="1" hidden="1">1</definedName>
    <definedName name="solver_scl" localSheetId="0" hidden="1">1</definedName>
    <definedName name="solver_scl" localSheetId="2" hidden="1">1</definedName>
    <definedName name="solver_sho" localSheetId="1" hidden="1">2</definedName>
    <definedName name="solver_sho" localSheetId="0" hidden="1">2</definedName>
    <definedName name="solver_sho" localSheetId="2" hidden="1">2</definedName>
    <definedName name="solver_ssz" localSheetId="1" hidden="1">100</definedName>
    <definedName name="solver_ssz" localSheetId="0" hidden="1">100</definedName>
    <definedName name="solver_ssz" localSheetId="2" hidden="1">100</definedName>
    <definedName name="solver_tim" localSheetId="1" hidden="1">2147483647</definedName>
    <definedName name="solver_tim" localSheetId="0" hidden="1">2147483647</definedName>
    <definedName name="solver_tim" localSheetId="2" hidden="1">2147483647</definedName>
    <definedName name="solver_tol" localSheetId="1" hidden="1">0.01</definedName>
    <definedName name="solver_tol" localSheetId="0" hidden="1">0.01</definedName>
    <definedName name="solver_tol" localSheetId="2" hidden="1">0.01</definedName>
    <definedName name="solver_typ" localSheetId="1" hidden="1">1</definedName>
    <definedName name="solver_typ" localSheetId="0" hidden="1">1</definedName>
    <definedName name="solver_typ" localSheetId="2" hidden="1">1</definedName>
    <definedName name="solver_val" localSheetId="1" hidden="1">0</definedName>
    <definedName name="solver_val" localSheetId="0" hidden="1">0</definedName>
    <definedName name="solver_val" localSheetId="2" hidden="1">0.5</definedName>
    <definedName name="solver_ver" localSheetId="1" hidden="1">3</definedName>
    <definedName name="solver_ver" localSheetId="0" hidden="1">2</definedName>
    <definedName name="solver_ver" localSheetId="2" hidden="1">2</definedName>
    <definedName name="tax_rate" localSheetId="4">#REF!</definedName>
    <definedName name="tax_rate" localSheetId="3">#REF!</definedName>
    <definedName name="tax_rate">#REF!</definedName>
    <definedName name="taxtable" localSheetId="1">#REF!</definedName>
    <definedName name="taxtable" localSheetId="0">#REF!</definedName>
    <definedName name="taxtable" localSheetId="3">#REF!</definedName>
    <definedName name="taxtable" localSheetId="2">#REF!</definedName>
    <definedName name="taxtable">#REF!</definedName>
    <definedName name="term_g" localSheetId="3">#REF!</definedName>
    <definedName name="term_g">#REF!</definedName>
    <definedName name="Variable_Cost_per_unit">'[2]Base Case'!$B$12</definedName>
    <definedName name="WACC_5" localSheetId="4">#REF!</definedName>
    <definedName name="WACC_5" localSheetId="3">#REF!</definedName>
    <definedName name="WACC_5">#REF!</definedName>
    <definedName name="ytm">[1]Convexity!$C$8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6" l="1"/>
  <c r="D11" i="6"/>
  <c r="D17" i="6"/>
  <c r="C11" i="7"/>
  <c r="K15" i="4"/>
  <c r="J15" i="4"/>
  <c r="I15" i="4"/>
  <c r="H15" i="4"/>
  <c r="G15" i="4"/>
  <c r="D39" i="4"/>
  <c r="C36" i="2"/>
  <c r="H36" i="2"/>
  <c r="G27" i="4" l="1"/>
  <c r="O25" i="4"/>
  <c r="O16" i="4"/>
  <c r="O7" i="4"/>
  <c r="G29" i="4" l="1"/>
  <c r="C16" i="7"/>
  <c r="P6" i="4" l="1"/>
  <c r="F32" i="4"/>
  <c r="C8" i="5"/>
  <c r="AE38" i="4" l="1"/>
  <c r="C14" i="7" l="1"/>
  <c r="AV11" i="4" l="1"/>
  <c r="AW11" i="4" s="1"/>
  <c r="AX11" i="4" s="1"/>
  <c r="AY11" i="4" s="1"/>
  <c r="AZ11" i="4" s="1"/>
  <c r="BA11" i="4" s="1"/>
  <c r="BB11" i="4" s="1"/>
  <c r="C10" i="7"/>
  <c r="D14" i="7"/>
  <c r="D15" i="7"/>
  <c r="D16" i="7"/>
  <c r="D17" i="7"/>
  <c r="D11" i="7"/>
  <c r="D10" i="7"/>
  <c r="C15" i="7" l="1"/>
  <c r="G31" i="4"/>
  <c r="F14" i="4"/>
  <c r="C17" i="7" l="1"/>
  <c r="F16" i="4"/>
  <c r="J27" i="4" l="1"/>
  <c r="AH97" i="4" l="1"/>
  <c r="AI97" i="4" s="1"/>
  <c r="AH96" i="4"/>
  <c r="AI96" i="4" s="1"/>
  <c r="AH95" i="4"/>
  <c r="AI95" i="4" s="1"/>
  <c r="AH94" i="4"/>
  <c r="AI94" i="4" s="1"/>
  <c r="AH93" i="4"/>
  <c r="AI93" i="4" s="1"/>
  <c r="AH92" i="4"/>
  <c r="AI92" i="4" s="1"/>
  <c r="AH91" i="4"/>
  <c r="AI91" i="4" s="1"/>
  <c r="AH90" i="4"/>
  <c r="AI90" i="4" s="1"/>
  <c r="AH89" i="4"/>
  <c r="AI89" i="4" s="1"/>
  <c r="AH88" i="4"/>
  <c r="AI88" i="4" s="1"/>
  <c r="AH87" i="4"/>
  <c r="AI87" i="4" s="1"/>
  <c r="AH86" i="4"/>
  <c r="AI86" i="4" s="1"/>
  <c r="AH85" i="4"/>
  <c r="AI85" i="4" s="1"/>
  <c r="AH84" i="4"/>
  <c r="AI84" i="4" s="1"/>
  <c r="AH83" i="4"/>
  <c r="AI83" i="4" s="1"/>
  <c r="AH82" i="4"/>
  <c r="AI82" i="4" s="1"/>
  <c r="AH81" i="4"/>
  <c r="AI81" i="4" s="1"/>
  <c r="AH80" i="4"/>
  <c r="AI80" i="4" s="1"/>
  <c r="AH79" i="4"/>
  <c r="AI79" i="4" s="1"/>
  <c r="AH78" i="4"/>
  <c r="AI78" i="4" s="1"/>
  <c r="AH77" i="4"/>
  <c r="AI77" i="4" s="1"/>
  <c r="AH76" i="4"/>
  <c r="AI76" i="4" s="1"/>
  <c r="AH75" i="4"/>
  <c r="AI75" i="4" s="1"/>
  <c r="AH74" i="4"/>
  <c r="AI74" i="4" s="1"/>
  <c r="AH73" i="4"/>
  <c r="AI73" i="4" s="1"/>
  <c r="AH72" i="4"/>
  <c r="AI72" i="4" s="1"/>
  <c r="AH71" i="4"/>
  <c r="AI71" i="4" s="1"/>
  <c r="AH70" i="4"/>
  <c r="AI70" i="4" s="1"/>
  <c r="AH69" i="4"/>
  <c r="AI69" i="4" s="1"/>
  <c r="AH68" i="4"/>
  <c r="AI68" i="4" s="1"/>
  <c r="AH67" i="4"/>
  <c r="AI67" i="4" s="1"/>
  <c r="AH66" i="4"/>
  <c r="AI66" i="4" s="1"/>
  <c r="AH65" i="4"/>
  <c r="AI65" i="4" s="1"/>
  <c r="AH64" i="4"/>
  <c r="AI64" i="4" s="1"/>
  <c r="AH63" i="4"/>
  <c r="AI63" i="4" s="1"/>
  <c r="AH62" i="4"/>
  <c r="AI62" i="4" s="1"/>
  <c r="AH61" i="4"/>
  <c r="AI61" i="4" s="1"/>
  <c r="AH60" i="4"/>
  <c r="AI60" i="4" s="1"/>
  <c r="AH59" i="4"/>
  <c r="AI59" i="4" s="1"/>
  <c r="AH58" i="4"/>
  <c r="AI58" i="4" s="1"/>
  <c r="AH57" i="4"/>
  <c r="AI57" i="4" s="1"/>
  <c r="AH56" i="4"/>
  <c r="AI56" i="4" s="1"/>
  <c r="AH55" i="4"/>
  <c r="AI55" i="4" s="1"/>
  <c r="AH54" i="4"/>
  <c r="AI54" i="4" s="1"/>
  <c r="AH53" i="4"/>
  <c r="AI53" i="4" s="1"/>
  <c r="AH52" i="4"/>
  <c r="AI52" i="4" s="1"/>
  <c r="AH51" i="4"/>
  <c r="AI51" i="4" s="1"/>
  <c r="AH50" i="4"/>
  <c r="AI50" i="4" s="1"/>
  <c r="AH49" i="4"/>
  <c r="AI49" i="4" s="1"/>
  <c r="AH48" i="4"/>
  <c r="AI48" i="4" s="1"/>
  <c r="AH47" i="4"/>
  <c r="AI47" i="4" s="1"/>
  <c r="AH46" i="4"/>
  <c r="AI46" i="4" s="1"/>
  <c r="AH45" i="4"/>
  <c r="AI45" i="4" s="1"/>
  <c r="AH44" i="4"/>
  <c r="AI44" i="4" s="1"/>
  <c r="AH43" i="4"/>
  <c r="AI43" i="4" s="1"/>
  <c r="AH42" i="4"/>
  <c r="AI42" i="4" s="1"/>
  <c r="AH41" i="4"/>
  <c r="AI41" i="4" s="1"/>
  <c r="AH40" i="4"/>
  <c r="AI40" i="4" s="1"/>
  <c r="AH39" i="4"/>
  <c r="AI39" i="4" s="1"/>
  <c r="L7" i="4" l="1"/>
  <c r="C6" i="5" s="1"/>
  <c r="L8" i="4"/>
  <c r="L9" i="4" l="1"/>
  <c r="D6" i="5"/>
  <c r="Q6" i="4"/>
  <c r="R6" i="4"/>
  <c r="R24" i="4" s="1"/>
  <c r="S6" i="4"/>
  <c r="S24" i="4" s="1"/>
  <c r="T6" i="4"/>
  <c r="T15" i="4" s="1"/>
  <c r="U6" i="4"/>
  <c r="U15" i="4" s="1"/>
  <c r="P24" i="4"/>
  <c r="Q15" i="4" l="1"/>
  <c r="O8" i="4"/>
  <c r="U24" i="4"/>
  <c r="O30" i="4" s="1"/>
  <c r="Q24" i="4"/>
  <c r="T24" i="4"/>
  <c r="O29" i="4" s="1"/>
  <c r="S15" i="4"/>
  <c r="O19" i="4" s="1"/>
  <c r="R15" i="4"/>
  <c r="O18" i="4" s="1"/>
  <c r="P15" i="4"/>
  <c r="H33" i="2"/>
  <c r="G32" i="2"/>
  <c r="F31" i="2"/>
  <c r="E30" i="2"/>
  <c r="D29" i="2"/>
  <c r="H17" i="2"/>
  <c r="G16" i="2"/>
  <c r="F15" i="2"/>
  <c r="E14" i="2"/>
  <c r="D13" i="2"/>
  <c r="C12" i="2"/>
  <c r="C7" i="2"/>
  <c r="C5" i="2"/>
  <c r="C37" i="2" s="1"/>
  <c r="D4" i="2"/>
  <c r="E4" i="2"/>
  <c r="F4" i="2"/>
  <c r="G4" i="2"/>
  <c r="H4" i="2"/>
  <c r="AA97" i="4"/>
  <c r="AB97" i="4" s="1"/>
  <c r="V97" i="4"/>
  <c r="W97" i="4" s="1"/>
  <c r="Q97" i="4"/>
  <c r="R97" i="4" s="1"/>
  <c r="L97" i="4"/>
  <c r="M97" i="4" s="1"/>
  <c r="G97" i="4"/>
  <c r="H97" i="4" s="1"/>
  <c r="D97" i="4"/>
  <c r="E97" i="4" s="1"/>
  <c r="AA96" i="4"/>
  <c r="AB96" i="4" s="1"/>
  <c r="V96" i="4"/>
  <c r="W96" i="4" s="1"/>
  <c r="Q96" i="4"/>
  <c r="R96" i="4" s="1"/>
  <c r="L96" i="4"/>
  <c r="M96" i="4" s="1"/>
  <c r="G96" i="4"/>
  <c r="H96" i="4" s="1"/>
  <c r="D96" i="4"/>
  <c r="E96" i="4" s="1"/>
  <c r="AA95" i="4"/>
  <c r="AB95" i="4" s="1"/>
  <c r="V95" i="4"/>
  <c r="W95" i="4" s="1"/>
  <c r="Q95" i="4"/>
  <c r="R95" i="4" s="1"/>
  <c r="L95" i="4"/>
  <c r="M95" i="4" s="1"/>
  <c r="G95" i="4"/>
  <c r="H95" i="4" s="1"/>
  <c r="D95" i="4"/>
  <c r="E95" i="4" s="1"/>
  <c r="AA94" i="4"/>
  <c r="AB94" i="4" s="1"/>
  <c r="V94" i="4"/>
  <c r="W94" i="4" s="1"/>
  <c r="Q94" i="4"/>
  <c r="R94" i="4" s="1"/>
  <c r="L94" i="4"/>
  <c r="M94" i="4" s="1"/>
  <c r="G94" i="4"/>
  <c r="H94" i="4" s="1"/>
  <c r="D94" i="4"/>
  <c r="E94" i="4" s="1"/>
  <c r="AA93" i="4"/>
  <c r="AB93" i="4" s="1"/>
  <c r="V93" i="4"/>
  <c r="W93" i="4" s="1"/>
  <c r="Q93" i="4"/>
  <c r="R93" i="4" s="1"/>
  <c r="L93" i="4"/>
  <c r="M93" i="4" s="1"/>
  <c r="G93" i="4"/>
  <c r="H93" i="4" s="1"/>
  <c r="D93" i="4"/>
  <c r="E93" i="4" s="1"/>
  <c r="AA92" i="4"/>
  <c r="AB92" i="4" s="1"/>
  <c r="V92" i="4"/>
  <c r="W92" i="4" s="1"/>
  <c r="Q92" i="4"/>
  <c r="R92" i="4" s="1"/>
  <c r="L92" i="4"/>
  <c r="M92" i="4" s="1"/>
  <c r="G92" i="4"/>
  <c r="H92" i="4" s="1"/>
  <c r="D92" i="4"/>
  <c r="E92" i="4" s="1"/>
  <c r="AA91" i="4"/>
  <c r="AB91" i="4" s="1"/>
  <c r="V91" i="4"/>
  <c r="W91" i="4" s="1"/>
  <c r="Q91" i="4"/>
  <c r="R91" i="4" s="1"/>
  <c r="L91" i="4"/>
  <c r="M91" i="4" s="1"/>
  <c r="G91" i="4"/>
  <c r="H91" i="4" s="1"/>
  <c r="D91" i="4"/>
  <c r="E91" i="4" s="1"/>
  <c r="AA90" i="4"/>
  <c r="AB90" i="4" s="1"/>
  <c r="V90" i="4"/>
  <c r="W90" i="4" s="1"/>
  <c r="Q90" i="4"/>
  <c r="R90" i="4" s="1"/>
  <c r="L90" i="4"/>
  <c r="M90" i="4" s="1"/>
  <c r="G90" i="4"/>
  <c r="H90" i="4" s="1"/>
  <c r="D90" i="4"/>
  <c r="E90" i="4" s="1"/>
  <c r="AA89" i="4"/>
  <c r="AB89" i="4" s="1"/>
  <c r="V89" i="4"/>
  <c r="W89" i="4" s="1"/>
  <c r="Q89" i="4"/>
  <c r="R89" i="4" s="1"/>
  <c r="L89" i="4"/>
  <c r="M89" i="4" s="1"/>
  <c r="G89" i="4"/>
  <c r="H89" i="4" s="1"/>
  <c r="D89" i="4"/>
  <c r="E89" i="4" s="1"/>
  <c r="AA88" i="4"/>
  <c r="AB88" i="4" s="1"/>
  <c r="V88" i="4"/>
  <c r="W88" i="4" s="1"/>
  <c r="Q88" i="4"/>
  <c r="R88" i="4" s="1"/>
  <c r="L88" i="4"/>
  <c r="M88" i="4" s="1"/>
  <c r="G88" i="4"/>
  <c r="H88" i="4" s="1"/>
  <c r="D88" i="4"/>
  <c r="E88" i="4" s="1"/>
  <c r="AA87" i="4"/>
  <c r="AB87" i="4" s="1"/>
  <c r="V87" i="4"/>
  <c r="W87" i="4" s="1"/>
  <c r="Q87" i="4"/>
  <c r="R87" i="4" s="1"/>
  <c r="L87" i="4"/>
  <c r="M87" i="4" s="1"/>
  <c r="G87" i="4"/>
  <c r="H87" i="4" s="1"/>
  <c r="D87" i="4"/>
  <c r="E87" i="4" s="1"/>
  <c r="AA86" i="4"/>
  <c r="AB86" i="4" s="1"/>
  <c r="V86" i="4"/>
  <c r="W86" i="4" s="1"/>
  <c r="Q86" i="4"/>
  <c r="R86" i="4" s="1"/>
  <c r="L86" i="4"/>
  <c r="M86" i="4" s="1"/>
  <c r="G86" i="4"/>
  <c r="H86" i="4" s="1"/>
  <c r="D86" i="4"/>
  <c r="E86" i="4" s="1"/>
  <c r="AA85" i="4"/>
  <c r="AB85" i="4" s="1"/>
  <c r="V85" i="4"/>
  <c r="W85" i="4" s="1"/>
  <c r="Q85" i="4"/>
  <c r="R85" i="4" s="1"/>
  <c r="L85" i="4"/>
  <c r="M85" i="4" s="1"/>
  <c r="G85" i="4"/>
  <c r="H85" i="4" s="1"/>
  <c r="D85" i="4"/>
  <c r="E85" i="4" s="1"/>
  <c r="AA84" i="4"/>
  <c r="AB84" i="4" s="1"/>
  <c r="V84" i="4"/>
  <c r="W84" i="4" s="1"/>
  <c r="Q84" i="4"/>
  <c r="R84" i="4" s="1"/>
  <c r="L84" i="4"/>
  <c r="M84" i="4" s="1"/>
  <c r="G84" i="4"/>
  <c r="H84" i="4" s="1"/>
  <c r="D84" i="4"/>
  <c r="E84" i="4" s="1"/>
  <c r="AA83" i="4"/>
  <c r="AB83" i="4" s="1"/>
  <c r="V83" i="4"/>
  <c r="W83" i="4" s="1"/>
  <c r="Q83" i="4"/>
  <c r="R83" i="4" s="1"/>
  <c r="L83" i="4"/>
  <c r="M83" i="4" s="1"/>
  <c r="G83" i="4"/>
  <c r="H83" i="4" s="1"/>
  <c r="D83" i="4"/>
  <c r="E83" i="4" s="1"/>
  <c r="AA82" i="4"/>
  <c r="AB82" i="4" s="1"/>
  <c r="V82" i="4"/>
  <c r="W82" i="4" s="1"/>
  <c r="Q82" i="4"/>
  <c r="R82" i="4" s="1"/>
  <c r="L82" i="4"/>
  <c r="M82" i="4" s="1"/>
  <c r="G82" i="4"/>
  <c r="H82" i="4" s="1"/>
  <c r="D82" i="4"/>
  <c r="E82" i="4" s="1"/>
  <c r="AA81" i="4"/>
  <c r="AB81" i="4" s="1"/>
  <c r="V81" i="4"/>
  <c r="W81" i="4" s="1"/>
  <c r="Q81" i="4"/>
  <c r="R81" i="4" s="1"/>
  <c r="L81" i="4"/>
  <c r="M81" i="4" s="1"/>
  <c r="G81" i="4"/>
  <c r="H81" i="4" s="1"/>
  <c r="D81" i="4"/>
  <c r="E81" i="4" s="1"/>
  <c r="AA80" i="4"/>
  <c r="AB80" i="4" s="1"/>
  <c r="V80" i="4"/>
  <c r="W80" i="4" s="1"/>
  <c r="Q80" i="4"/>
  <c r="R80" i="4" s="1"/>
  <c r="L80" i="4"/>
  <c r="M80" i="4" s="1"/>
  <c r="G80" i="4"/>
  <c r="H80" i="4" s="1"/>
  <c r="D80" i="4"/>
  <c r="E80" i="4" s="1"/>
  <c r="AA79" i="4"/>
  <c r="AB79" i="4" s="1"/>
  <c r="V79" i="4"/>
  <c r="W79" i="4" s="1"/>
  <c r="Q79" i="4"/>
  <c r="R79" i="4" s="1"/>
  <c r="L79" i="4"/>
  <c r="M79" i="4" s="1"/>
  <c r="G79" i="4"/>
  <c r="H79" i="4" s="1"/>
  <c r="D79" i="4"/>
  <c r="E79" i="4" s="1"/>
  <c r="AA78" i="4"/>
  <c r="AB78" i="4" s="1"/>
  <c r="V78" i="4"/>
  <c r="W78" i="4" s="1"/>
  <c r="Q78" i="4"/>
  <c r="R78" i="4" s="1"/>
  <c r="L78" i="4"/>
  <c r="M78" i="4" s="1"/>
  <c r="G78" i="4"/>
  <c r="H78" i="4" s="1"/>
  <c r="D78" i="4"/>
  <c r="E78" i="4" s="1"/>
  <c r="AA77" i="4"/>
  <c r="AB77" i="4" s="1"/>
  <c r="V77" i="4"/>
  <c r="W77" i="4" s="1"/>
  <c r="Q77" i="4"/>
  <c r="R77" i="4" s="1"/>
  <c r="L77" i="4"/>
  <c r="M77" i="4" s="1"/>
  <c r="G77" i="4"/>
  <c r="H77" i="4" s="1"/>
  <c r="D77" i="4"/>
  <c r="E77" i="4" s="1"/>
  <c r="AA76" i="4"/>
  <c r="AB76" i="4" s="1"/>
  <c r="V76" i="4"/>
  <c r="W76" i="4" s="1"/>
  <c r="Q76" i="4"/>
  <c r="R76" i="4" s="1"/>
  <c r="L76" i="4"/>
  <c r="M76" i="4" s="1"/>
  <c r="G76" i="4"/>
  <c r="H76" i="4" s="1"/>
  <c r="D76" i="4"/>
  <c r="E76" i="4" s="1"/>
  <c r="AA75" i="4"/>
  <c r="AB75" i="4" s="1"/>
  <c r="V75" i="4"/>
  <c r="W75" i="4" s="1"/>
  <c r="Q75" i="4"/>
  <c r="R75" i="4" s="1"/>
  <c r="L75" i="4"/>
  <c r="M75" i="4" s="1"/>
  <c r="G75" i="4"/>
  <c r="H75" i="4" s="1"/>
  <c r="D75" i="4"/>
  <c r="E75" i="4" s="1"/>
  <c r="AA74" i="4"/>
  <c r="AB74" i="4" s="1"/>
  <c r="V74" i="4"/>
  <c r="W74" i="4" s="1"/>
  <c r="Q74" i="4"/>
  <c r="R74" i="4" s="1"/>
  <c r="L74" i="4"/>
  <c r="M74" i="4" s="1"/>
  <c r="G74" i="4"/>
  <c r="H74" i="4" s="1"/>
  <c r="D74" i="4"/>
  <c r="E74" i="4" s="1"/>
  <c r="AA73" i="4"/>
  <c r="AB73" i="4" s="1"/>
  <c r="V73" i="4"/>
  <c r="W73" i="4" s="1"/>
  <c r="Q73" i="4"/>
  <c r="R73" i="4" s="1"/>
  <c r="L73" i="4"/>
  <c r="M73" i="4" s="1"/>
  <c r="G73" i="4"/>
  <c r="H73" i="4" s="1"/>
  <c r="D73" i="4"/>
  <c r="E73" i="4" s="1"/>
  <c r="AA72" i="4"/>
  <c r="AB72" i="4" s="1"/>
  <c r="V72" i="4"/>
  <c r="W72" i="4" s="1"/>
  <c r="Q72" i="4"/>
  <c r="R72" i="4" s="1"/>
  <c r="L72" i="4"/>
  <c r="M72" i="4" s="1"/>
  <c r="G72" i="4"/>
  <c r="H72" i="4" s="1"/>
  <c r="D72" i="4"/>
  <c r="E72" i="4" s="1"/>
  <c r="AA71" i="4"/>
  <c r="AB71" i="4" s="1"/>
  <c r="V71" i="4"/>
  <c r="W71" i="4" s="1"/>
  <c r="Q71" i="4"/>
  <c r="R71" i="4" s="1"/>
  <c r="L71" i="4"/>
  <c r="M71" i="4" s="1"/>
  <c r="G71" i="4"/>
  <c r="H71" i="4" s="1"/>
  <c r="D71" i="4"/>
  <c r="E71" i="4" s="1"/>
  <c r="AA70" i="4"/>
  <c r="AB70" i="4" s="1"/>
  <c r="V70" i="4"/>
  <c r="W70" i="4" s="1"/>
  <c r="Q70" i="4"/>
  <c r="R70" i="4" s="1"/>
  <c r="L70" i="4"/>
  <c r="M70" i="4" s="1"/>
  <c r="G70" i="4"/>
  <c r="H70" i="4" s="1"/>
  <c r="D70" i="4"/>
  <c r="E70" i="4" s="1"/>
  <c r="AA69" i="4"/>
  <c r="AB69" i="4" s="1"/>
  <c r="V69" i="4"/>
  <c r="W69" i="4" s="1"/>
  <c r="Q69" i="4"/>
  <c r="R69" i="4" s="1"/>
  <c r="L69" i="4"/>
  <c r="M69" i="4" s="1"/>
  <c r="G69" i="4"/>
  <c r="H69" i="4" s="1"/>
  <c r="D69" i="4"/>
  <c r="E69" i="4" s="1"/>
  <c r="AA68" i="4"/>
  <c r="AB68" i="4" s="1"/>
  <c r="V68" i="4"/>
  <c r="W68" i="4" s="1"/>
  <c r="Q68" i="4"/>
  <c r="R68" i="4" s="1"/>
  <c r="L68" i="4"/>
  <c r="M68" i="4" s="1"/>
  <c r="G68" i="4"/>
  <c r="H68" i="4" s="1"/>
  <c r="D68" i="4"/>
  <c r="E68" i="4" s="1"/>
  <c r="AA67" i="4"/>
  <c r="AB67" i="4" s="1"/>
  <c r="V67" i="4"/>
  <c r="W67" i="4" s="1"/>
  <c r="Q67" i="4"/>
  <c r="R67" i="4" s="1"/>
  <c r="L67" i="4"/>
  <c r="M67" i="4" s="1"/>
  <c r="G67" i="4"/>
  <c r="H67" i="4" s="1"/>
  <c r="D67" i="4"/>
  <c r="E67" i="4" s="1"/>
  <c r="AA66" i="4"/>
  <c r="AB66" i="4" s="1"/>
  <c r="V66" i="4"/>
  <c r="W66" i="4" s="1"/>
  <c r="Q66" i="4"/>
  <c r="R66" i="4" s="1"/>
  <c r="L66" i="4"/>
  <c r="M66" i="4" s="1"/>
  <c r="G66" i="4"/>
  <c r="H66" i="4" s="1"/>
  <c r="D66" i="4"/>
  <c r="E66" i="4" s="1"/>
  <c r="AA65" i="4"/>
  <c r="AB65" i="4" s="1"/>
  <c r="V65" i="4"/>
  <c r="W65" i="4" s="1"/>
  <c r="Q65" i="4"/>
  <c r="R65" i="4" s="1"/>
  <c r="L65" i="4"/>
  <c r="M65" i="4" s="1"/>
  <c r="G65" i="4"/>
  <c r="H65" i="4" s="1"/>
  <c r="D65" i="4"/>
  <c r="E65" i="4" s="1"/>
  <c r="AA64" i="4"/>
  <c r="AB64" i="4" s="1"/>
  <c r="V64" i="4"/>
  <c r="W64" i="4" s="1"/>
  <c r="Q64" i="4"/>
  <c r="R64" i="4" s="1"/>
  <c r="L64" i="4"/>
  <c r="M64" i="4" s="1"/>
  <c r="G64" i="4"/>
  <c r="H64" i="4" s="1"/>
  <c r="D64" i="4"/>
  <c r="E64" i="4" s="1"/>
  <c r="AA63" i="4"/>
  <c r="AB63" i="4" s="1"/>
  <c r="V63" i="4"/>
  <c r="W63" i="4" s="1"/>
  <c r="Q63" i="4"/>
  <c r="R63" i="4" s="1"/>
  <c r="L63" i="4"/>
  <c r="M63" i="4" s="1"/>
  <c r="G63" i="4"/>
  <c r="H63" i="4" s="1"/>
  <c r="D63" i="4"/>
  <c r="E63" i="4" s="1"/>
  <c r="AA62" i="4"/>
  <c r="AB62" i="4" s="1"/>
  <c r="V62" i="4"/>
  <c r="W62" i="4" s="1"/>
  <c r="Q62" i="4"/>
  <c r="R62" i="4" s="1"/>
  <c r="L62" i="4"/>
  <c r="M62" i="4" s="1"/>
  <c r="G62" i="4"/>
  <c r="H62" i="4" s="1"/>
  <c r="D62" i="4"/>
  <c r="E62" i="4" s="1"/>
  <c r="AA61" i="4"/>
  <c r="AB61" i="4" s="1"/>
  <c r="V61" i="4"/>
  <c r="W61" i="4" s="1"/>
  <c r="Q61" i="4"/>
  <c r="R61" i="4" s="1"/>
  <c r="L61" i="4"/>
  <c r="M61" i="4" s="1"/>
  <c r="G61" i="4"/>
  <c r="H61" i="4" s="1"/>
  <c r="D61" i="4"/>
  <c r="E61" i="4" s="1"/>
  <c r="AA60" i="4"/>
  <c r="AB60" i="4" s="1"/>
  <c r="V60" i="4"/>
  <c r="W60" i="4" s="1"/>
  <c r="Q60" i="4"/>
  <c r="R60" i="4" s="1"/>
  <c r="L60" i="4"/>
  <c r="M60" i="4" s="1"/>
  <c r="G60" i="4"/>
  <c r="H60" i="4" s="1"/>
  <c r="D60" i="4"/>
  <c r="E60" i="4" s="1"/>
  <c r="AA59" i="4"/>
  <c r="AB59" i="4" s="1"/>
  <c r="V59" i="4"/>
  <c r="W59" i="4" s="1"/>
  <c r="Q59" i="4"/>
  <c r="R59" i="4" s="1"/>
  <c r="L59" i="4"/>
  <c r="M59" i="4" s="1"/>
  <c r="G59" i="4"/>
  <c r="H59" i="4" s="1"/>
  <c r="D59" i="4"/>
  <c r="E59" i="4" s="1"/>
  <c r="AA58" i="4"/>
  <c r="AB58" i="4" s="1"/>
  <c r="V58" i="4"/>
  <c r="W58" i="4" s="1"/>
  <c r="Q58" i="4"/>
  <c r="R58" i="4" s="1"/>
  <c r="L58" i="4"/>
  <c r="M58" i="4" s="1"/>
  <c r="G58" i="4"/>
  <c r="H58" i="4" s="1"/>
  <c r="D58" i="4"/>
  <c r="E58" i="4" s="1"/>
  <c r="AA57" i="4"/>
  <c r="AB57" i="4" s="1"/>
  <c r="V57" i="4"/>
  <c r="W57" i="4" s="1"/>
  <c r="Q57" i="4"/>
  <c r="R57" i="4" s="1"/>
  <c r="L57" i="4"/>
  <c r="M57" i="4" s="1"/>
  <c r="G57" i="4"/>
  <c r="H57" i="4" s="1"/>
  <c r="D57" i="4"/>
  <c r="E57" i="4" s="1"/>
  <c r="AA56" i="4"/>
  <c r="AB56" i="4" s="1"/>
  <c r="V56" i="4"/>
  <c r="W56" i="4" s="1"/>
  <c r="Q56" i="4"/>
  <c r="R56" i="4" s="1"/>
  <c r="L56" i="4"/>
  <c r="M56" i="4" s="1"/>
  <c r="G56" i="4"/>
  <c r="H56" i="4" s="1"/>
  <c r="D56" i="4"/>
  <c r="E56" i="4" s="1"/>
  <c r="AA55" i="4"/>
  <c r="AB55" i="4" s="1"/>
  <c r="V55" i="4"/>
  <c r="W55" i="4" s="1"/>
  <c r="Q55" i="4"/>
  <c r="R55" i="4" s="1"/>
  <c r="L55" i="4"/>
  <c r="M55" i="4" s="1"/>
  <c r="G55" i="4"/>
  <c r="H55" i="4" s="1"/>
  <c r="D55" i="4"/>
  <c r="E55" i="4" s="1"/>
  <c r="AA54" i="4"/>
  <c r="AB54" i="4" s="1"/>
  <c r="V54" i="4"/>
  <c r="W54" i="4" s="1"/>
  <c r="Q54" i="4"/>
  <c r="R54" i="4" s="1"/>
  <c r="L54" i="4"/>
  <c r="M54" i="4" s="1"/>
  <c r="G54" i="4"/>
  <c r="H54" i="4" s="1"/>
  <c r="D54" i="4"/>
  <c r="E54" i="4" s="1"/>
  <c r="AA53" i="4"/>
  <c r="AB53" i="4" s="1"/>
  <c r="V53" i="4"/>
  <c r="W53" i="4" s="1"/>
  <c r="Q53" i="4"/>
  <c r="R53" i="4" s="1"/>
  <c r="L53" i="4"/>
  <c r="M53" i="4" s="1"/>
  <c r="G53" i="4"/>
  <c r="H53" i="4" s="1"/>
  <c r="D53" i="4"/>
  <c r="E53" i="4" s="1"/>
  <c r="AA52" i="4"/>
  <c r="AB52" i="4" s="1"/>
  <c r="V52" i="4"/>
  <c r="W52" i="4" s="1"/>
  <c r="Q52" i="4"/>
  <c r="R52" i="4" s="1"/>
  <c r="L52" i="4"/>
  <c r="M52" i="4" s="1"/>
  <c r="G52" i="4"/>
  <c r="H52" i="4" s="1"/>
  <c r="D52" i="4"/>
  <c r="E52" i="4" s="1"/>
  <c r="AA51" i="4"/>
  <c r="AB51" i="4" s="1"/>
  <c r="V51" i="4"/>
  <c r="W51" i="4" s="1"/>
  <c r="Q51" i="4"/>
  <c r="R51" i="4" s="1"/>
  <c r="L51" i="4"/>
  <c r="M51" i="4" s="1"/>
  <c r="G51" i="4"/>
  <c r="H51" i="4" s="1"/>
  <c r="D51" i="4"/>
  <c r="E51" i="4" s="1"/>
  <c r="AA50" i="4"/>
  <c r="AB50" i="4" s="1"/>
  <c r="V50" i="4"/>
  <c r="W50" i="4" s="1"/>
  <c r="Q50" i="4"/>
  <c r="R50" i="4" s="1"/>
  <c r="L50" i="4"/>
  <c r="M50" i="4" s="1"/>
  <c r="G50" i="4"/>
  <c r="H50" i="4" s="1"/>
  <c r="D50" i="4"/>
  <c r="E50" i="4" s="1"/>
  <c r="AA49" i="4"/>
  <c r="AB49" i="4" s="1"/>
  <c r="V49" i="4"/>
  <c r="W49" i="4" s="1"/>
  <c r="Q49" i="4"/>
  <c r="R49" i="4" s="1"/>
  <c r="L49" i="4"/>
  <c r="M49" i="4" s="1"/>
  <c r="G49" i="4"/>
  <c r="H49" i="4" s="1"/>
  <c r="D49" i="4"/>
  <c r="E49" i="4" s="1"/>
  <c r="AA48" i="4"/>
  <c r="AB48" i="4" s="1"/>
  <c r="V48" i="4"/>
  <c r="W48" i="4" s="1"/>
  <c r="Q48" i="4"/>
  <c r="R48" i="4" s="1"/>
  <c r="L48" i="4"/>
  <c r="M48" i="4" s="1"/>
  <c r="G48" i="4"/>
  <c r="H48" i="4" s="1"/>
  <c r="D48" i="4"/>
  <c r="E48" i="4" s="1"/>
  <c r="AA47" i="4"/>
  <c r="AB47" i="4" s="1"/>
  <c r="V47" i="4"/>
  <c r="W47" i="4" s="1"/>
  <c r="Q47" i="4"/>
  <c r="R47" i="4" s="1"/>
  <c r="L47" i="4"/>
  <c r="M47" i="4" s="1"/>
  <c r="G47" i="4"/>
  <c r="H47" i="4" s="1"/>
  <c r="D47" i="4"/>
  <c r="E47" i="4" s="1"/>
  <c r="AA46" i="4"/>
  <c r="AB46" i="4" s="1"/>
  <c r="V46" i="4"/>
  <c r="W46" i="4" s="1"/>
  <c r="Q46" i="4"/>
  <c r="R46" i="4" s="1"/>
  <c r="L46" i="4"/>
  <c r="M46" i="4" s="1"/>
  <c r="G46" i="4"/>
  <c r="H46" i="4" s="1"/>
  <c r="D46" i="4"/>
  <c r="E46" i="4" s="1"/>
  <c r="AA45" i="4"/>
  <c r="AB45" i="4" s="1"/>
  <c r="V45" i="4"/>
  <c r="W45" i="4" s="1"/>
  <c r="Q45" i="4"/>
  <c r="R45" i="4" s="1"/>
  <c r="L45" i="4"/>
  <c r="M45" i="4" s="1"/>
  <c r="G45" i="4"/>
  <c r="H45" i="4" s="1"/>
  <c r="D45" i="4"/>
  <c r="E45" i="4" s="1"/>
  <c r="AA44" i="4"/>
  <c r="AB44" i="4" s="1"/>
  <c r="V44" i="4"/>
  <c r="W44" i="4" s="1"/>
  <c r="Q44" i="4"/>
  <c r="R44" i="4" s="1"/>
  <c r="L44" i="4"/>
  <c r="M44" i="4" s="1"/>
  <c r="G44" i="4"/>
  <c r="H44" i="4" s="1"/>
  <c r="D44" i="4"/>
  <c r="E44" i="4" s="1"/>
  <c r="AA43" i="4"/>
  <c r="AB43" i="4" s="1"/>
  <c r="V43" i="4"/>
  <c r="W43" i="4" s="1"/>
  <c r="Q43" i="4"/>
  <c r="R43" i="4" s="1"/>
  <c r="L43" i="4"/>
  <c r="M43" i="4" s="1"/>
  <c r="G43" i="4"/>
  <c r="H43" i="4" s="1"/>
  <c r="D43" i="4"/>
  <c r="E43" i="4" s="1"/>
  <c r="AA42" i="4"/>
  <c r="AB42" i="4" s="1"/>
  <c r="V42" i="4"/>
  <c r="W42" i="4" s="1"/>
  <c r="Q42" i="4"/>
  <c r="R42" i="4" s="1"/>
  <c r="L42" i="4"/>
  <c r="M42" i="4" s="1"/>
  <c r="G42" i="4"/>
  <c r="H42" i="4" s="1"/>
  <c r="D42" i="4"/>
  <c r="E42" i="4" s="1"/>
  <c r="AA41" i="4"/>
  <c r="AB41" i="4" s="1"/>
  <c r="V41" i="4"/>
  <c r="W41" i="4" s="1"/>
  <c r="Q41" i="4"/>
  <c r="R41" i="4" s="1"/>
  <c r="L41" i="4"/>
  <c r="M41" i="4" s="1"/>
  <c r="G41" i="4"/>
  <c r="H41" i="4" s="1"/>
  <c r="D41" i="4"/>
  <c r="E41" i="4" s="1"/>
  <c r="AA40" i="4"/>
  <c r="AB40" i="4" s="1"/>
  <c r="V40" i="4"/>
  <c r="W40" i="4" s="1"/>
  <c r="Q40" i="4"/>
  <c r="R40" i="4" s="1"/>
  <c r="L40" i="4"/>
  <c r="M40" i="4" s="1"/>
  <c r="G40" i="4"/>
  <c r="H40" i="4" s="1"/>
  <c r="D40" i="4"/>
  <c r="E40" i="4" s="1"/>
  <c r="AA39" i="4"/>
  <c r="AB39" i="4" s="1"/>
  <c r="V39" i="4"/>
  <c r="W39" i="4" s="1"/>
  <c r="Q39" i="4"/>
  <c r="R39" i="4" s="1"/>
  <c r="L39" i="4"/>
  <c r="M39" i="4" s="1"/>
  <c r="G39" i="4"/>
  <c r="H39" i="4" s="1"/>
  <c r="E39" i="4"/>
  <c r="K31" i="4"/>
  <c r="J31" i="4"/>
  <c r="I31" i="4"/>
  <c r="H31" i="4"/>
  <c r="K29" i="4"/>
  <c r="J29" i="4"/>
  <c r="I29" i="4"/>
  <c r="H29" i="4"/>
  <c r="O28" i="4"/>
  <c r="O27" i="4"/>
  <c r="K27" i="4"/>
  <c r="I27" i="4"/>
  <c r="H27" i="4"/>
  <c r="O26" i="4"/>
  <c r="O21" i="4"/>
  <c r="O12" i="4"/>
  <c r="O20" i="4"/>
  <c r="O11" i="4"/>
  <c r="O10" i="4"/>
  <c r="O9" i="4"/>
  <c r="O17" i="4"/>
  <c r="D55" i="2"/>
  <c r="H7" i="4" l="1"/>
  <c r="G13" i="4"/>
  <c r="G14" i="4" s="1"/>
  <c r="J7" i="4"/>
  <c r="I7" i="4"/>
  <c r="F7" i="4"/>
  <c r="C39" i="2" s="1"/>
  <c r="L18" i="4"/>
  <c r="D19" i="2"/>
  <c r="D27" i="2" s="1"/>
  <c r="D11" i="2"/>
  <c r="G11" i="2"/>
  <c r="G19" i="2"/>
  <c r="G27" i="2" s="1"/>
  <c r="F11" i="2"/>
  <c r="F19" i="2"/>
  <c r="F27" i="2" s="1"/>
  <c r="E19" i="2"/>
  <c r="E27" i="2" s="1"/>
  <c r="E11" i="2"/>
  <c r="C19" i="2"/>
  <c r="C27" i="2" s="1"/>
  <c r="C11" i="2"/>
  <c r="H11" i="2"/>
  <c r="H19" i="2"/>
  <c r="H27" i="2" s="1"/>
  <c r="G12" i="4"/>
  <c r="F35" i="2"/>
  <c r="H41" i="2" s="1"/>
  <c r="H53" i="2" s="1"/>
  <c r="G35" i="2"/>
  <c r="I41" i="2" s="1"/>
  <c r="I53" i="2" s="1"/>
  <c r="D35" i="2"/>
  <c r="F41" i="2" s="1"/>
  <c r="F53" i="2" s="1"/>
  <c r="E35" i="2"/>
  <c r="G41" i="2" s="1"/>
  <c r="G53" i="2" s="1"/>
  <c r="C35" i="2"/>
  <c r="D53" i="2" s="1"/>
  <c r="H35" i="2"/>
  <c r="J41" i="2" s="1"/>
  <c r="J53" i="2" s="1"/>
  <c r="J17" i="4"/>
  <c r="J13" i="4"/>
  <c r="J8" i="4"/>
  <c r="K12" i="4"/>
  <c r="K8" i="4"/>
  <c r="I17" i="4"/>
  <c r="K7" i="4"/>
  <c r="I8" i="4"/>
  <c r="J12" i="4"/>
  <c r="H17" i="4"/>
  <c r="F8" i="4"/>
  <c r="G18" i="4"/>
  <c r="I13" i="4"/>
  <c r="I14" i="4" s="1"/>
  <c r="K17" i="4"/>
  <c r="H5" i="2" s="1"/>
  <c r="H37" i="2" s="1"/>
  <c r="H18" i="4"/>
  <c r="G8" i="4"/>
  <c r="H12" i="4"/>
  <c r="K13" i="4"/>
  <c r="H13" i="4"/>
  <c r="H14" i="4" s="1"/>
  <c r="I18" i="4"/>
  <c r="J18" i="4"/>
  <c r="K18" i="4"/>
  <c r="P12" i="4" s="1"/>
  <c r="G7" i="4"/>
  <c r="H8" i="4"/>
  <c r="I12" i="4"/>
  <c r="G17" i="4"/>
  <c r="K16" i="4" l="1"/>
  <c r="J16" i="4"/>
  <c r="G36" i="2" s="1"/>
  <c r="I16" i="4"/>
  <c r="F36" i="2" s="1"/>
  <c r="G16" i="4"/>
  <c r="D36" i="2" s="1"/>
  <c r="C6" i="2"/>
  <c r="C9" i="2" s="1"/>
  <c r="P16" i="4"/>
  <c r="P19" i="4" s="1"/>
  <c r="E5" i="2"/>
  <c r="E37" i="2" s="1"/>
  <c r="E38" i="2" s="1"/>
  <c r="F5" i="2"/>
  <c r="F37" i="2" s="1"/>
  <c r="D5" i="2"/>
  <c r="D37" i="2" s="1"/>
  <c r="G5" i="2"/>
  <c r="G37" i="2" s="1"/>
  <c r="D64" i="2"/>
  <c r="Q9" i="4"/>
  <c r="D14" i="2" s="1"/>
  <c r="H16" i="4"/>
  <c r="E36" i="2" s="1"/>
  <c r="J14" i="4"/>
  <c r="K14" i="4"/>
  <c r="C38" i="2"/>
  <c r="B20" i="2" a="1"/>
  <c r="B20" i="2" s="1"/>
  <c r="B28" i="2" s="1"/>
  <c r="B12" i="2" a="1"/>
  <c r="B12" i="2" s="1"/>
  <c r="K9" i="4"/>
  <c r="T20" i="4"/>
  <c r="G24" i="2" s="1"/>
  <c r="G6" i="2"/>
  <c r="S19" i="4"/>
  <c r="F23" i="2" s="1"/>
  <c r="F6" i="2"/>
  <c r="U21" i="4"/>
  <c r="H25" i="2" s="1"/>
  <c r="H6" i="2"/>
  <c r="R18" i="4"/>
  <c r="E22" i="2" s="1"/>
  <c r="E6" i="2"/>
  <c r="Q17" i="4"/>
  <c r="D21" i="2" s="1"/>
  <c r="D6" i="2"/>
  <c r="J19" i="4"/>
  <c r="J20" i="4" s="1"/>
  <c r="T12" i="4"/>
  <c r="G17" i="2" s="1"/>
  <c r="P11" i="4"/>
  <c r="C16" i="2" s="1"/>
  <c r="K19" i="4"/>
  <c r="K20" i="4" s="1"/>
  <c r="C17" i="2"/>
  <c r="AC95" i="4"/>
  <c r="AD95" i="4" s="1"/>
  <c r="AC91" i="4"/>
  <c r="AD91" i="4" s="1"/>
  <c r="AC87" i="4"/>
  <c r="AD87" i="4" s="1"/>
  <c r="AC83" i="4"/>
  <c r="AD83" i="4" s="1"/>
  <c r="AC79" i="4"/>
  <c r="AD79" i="4" s="1"/>
  <c r="AC75" i="4"/>
  <c r="AD75" i="4" s="1"/>
  <c r="AC94" i="4"/>
  <c r="AD94" i="4" s="1"/>
  <c r="AC90" i="4"/>
  <c r="AD90" i="4" s="1"/>
  <c r="AC86" i="4"/>
  <c r="AD86" i="4" s="1"/>
  <c r="AC82" i="4"/>
  <c r="AD82" i="4" s="1"/>
  <c r="AC85" i="4"/>
  <c r="AD85" i="4" s="1"/>
  <c r="AC77" i="4"/>
  <c r="AD77" i="4" s="1"/>
  <c r="AC73" i="4"/>
  <c r="AD73" i="4" s="1"/>
  <c r="AC84" i="4"/>
  <c r="AD84" i="4" s="1"/>
  <c r="AC70" i="4"/>
  <c r="AD70" i="4" s="1"/>
  <c r="AC66" i="4"/>
  <c r="AD66" i="4" s="1"/>
  <c r="AC62" i="4"/>
  <c r="AD62" i="4" s="1"/>
  <c r="AC58" i="4"/>
  <c r="AD58" i="4" s="1"/>
  <c r="AC54" i="4"/>
  <c r="AD54" i="4" s="1"/>
  <c r="AC50" i="4"/>
  <c r="AD50" i="4" s="1"/>
  <c r="AC46" i="4"/>
  <c r="AD46" i="4" s="1"/>
  <c r="AC42" i="4"/>
  <c r="AD42" i="4" s="1"/>
  <c r="AC97" i="4"/>
  <c r="AD97" i="4" s="1"/>
  <c r="AC81" i="4"/>
  <c r="AD81" i="4" s="1"/>
  <c r="AC76" i="4"/>
  <c r="AD76" i="4" s="1"/>
  <c r="AC96" i="4"/>
  <c r="AD96" i="4" s="1"/>
  <c r="AC80" i="4"/>
  <c r="AD80" i="4" s="1"/>
  <c r="AC72" i="4"/>
  <c r="AD72" i="4" s="1"/>
  <c r="AC69" i="4"/>
  <c r="AD69" i="4" s="1"/>
  <c r="AC93" i="4"/>
  <c r="AD93" i="4" s="1"/>
  <c r="AC92" i="4"/>
  <c r="AD92" i="4" s="1"/>
  <c r="AC88" i="4"/>
  <c r="AD88" i="4" s="1"/>
  <c r="AC71" i="4"/>
  <c r="AD71" i="4" s="1"/>
  <c r="AC67" i="4"/>
  <c r="AD67" i="4" s="1"/>
  <c r="AC63" i="4"/>
  <c r="AD63" i="4" s="1"/>
  <c r="AC59" i="4"/>
  <c r="AD59" i="4" s="1"/>
  <c r="AC55" i="4"/>
  <c r="AD55" i="4" s="1"/>
  <c r="AC51" i="4"/>
  <c r="AD51" i="4" s="1"/>
  <c r="AC47" i="4"/>
  <c r="AD47" i="4" s="1"/>
  <c r="AC43" i="4"/>
  <c r="AD43" i="4" s="1"/>
  <c r="AC39" i="4"/>
  <c r="AC61" i="4"/>
  <c r="AD61" i="4" s="1"/>
  <c r="AC89" i="4"/>
  <c r="AD89" i="4" s="1"/>
  <c r="AC60" i="4"/>
  <c r="AD60" i="4" s="1"/>
  <c r="AC45" i="4"/>
  <c r="AD45" i="4" s="1"/>
  <c r="AC56" i="4"/>
  <c r="AD56" i="4" s="1"/>
  <c r="AC68" i="4"/>
  <c r="AD68" i="4" s="1"/>
  <c r="AC44" i="4"/>
  <c r="AD44" i="4" s="1"/>
  <c r="AC53" i="4"/>
  <c r="AD53" i="4" s="1"/>
  <c r="AC52" i="4"/>
  <c r="AD52" i="4" s="1"/>
  <c r="AC57" i="4"/>
  <c r="AD57" i="4" s="1"/>
  <c r="AC41" i="4"/>
  <c r="AD41" i="4" s="1"/>
  <c r="AC40" i="4"/>
  <c r="AD40" i="4" s="1"/>
  <c r="AC64" i="4"/>
  <c r="AD64" i="4" s="1"/>
  <c r="AC48" i="4"/>
  <c r="AD48" i="4" s="1"/>
  <c r="AC49" i="4"/>
  <c r="AD49" i="4" s="1"/>
  <c r="AC74" i="4"/>
  <c r="AD74" i="4" s="1"/>
  <c r="AC78" i="4"/>
  <c r="AD78" i="4" s="1"/>
  <c r="AC65" i="4"/>
  <c r="AD65" i="4" s="1"/>
  <c r="N97" i="4"/>
  <c r="O97" i="4" s="1"/>
  <c r="S97" i="4" s="1"/>
  <c r="T97" i="4" s="1"/>
  <c r="N93" i="4"/>
  <c r="O93" i="4" s="1"/>
  <c r="S93" i="4" s="1"/>
  <c r="T93" i="4" s="1"/>
  <c r="N89" i="4"/>
  <c r="O89" i="4" s="1"/>
  <c r="S89" i="4" s="1"/>
  <c r="T89" i="4" s="1"/>
  <c r="N85" i="4"/>
  <c r="O85" i="4" s="1"/>
  <c r="S85" i="4" s="1"/>
  <c r="T85" i="4" s="1"/>
  <c r="N81" i="4"/>
  <c r="O81" i="4" s="1"/>
  <c r="S81" i="4" s="1"/>
  <c r="T81" i="4" s="1"/>
  <c r="N77" i="4"/>
  <c r="O77" i="4" s="1"/>
  <c r="S77" i="4" s="1"/>
  <c r="T77" i="4" s="1"/>
  <c r="N96" i="4"/>
  <c r="O96" i="4" s="1"/>
  <c r="S96" i="4" s="1"/>
  <c r="T96" i="4" s="1"/>
  <c r="N92" i="4"/>
  <c r="O92" i="4" s="1"/>
  <c r="S92" i="4" s="1"/>
  <c r="T92" i="4" s="1"/>
  <c r="N88" i="4"/>
  <c r="O88" i="4" s="1"/>
  <c r="S88" i="4" s="1"/>
  <c r="T88" i="4" s="1"/>
  <c r="N84" i="4"/>
  <c r="O84" i="4" s="1"/>
  <c r="S84" i="4" s="1"/>
  <c r="T84" i="4" s="1"/>
  <c r="N86" i="4"/>
  <c r="O86" i="4" s="1"/>
  <c r="S86" i="4" s="1"/>
  <c r="T86" i="4" s="1"/>
  <c r="N73" i="4"/>
  <c r="O73" i="4" s="1"/>
  <c r="S73" i="4" s="1"/>
  <c r="T73" i="4" s="1"/>
  <c r="N83" i="4"/>
  <c r="O83" i="4" s="1"/>
  <c r="S83" i="4" s="1"/>
  <c r="T83" i="4" s="1"/>
  <c r="N68" i="4"/>
  <c r="O68" i="4" s="1"/>
  <c r="S68" i="4" s="1"/>
  <c r="T68" i="4" s="1"/>
  <c r="N64" i="4"/>
  <c r="O64" i="4" s="1"/>
  <c r="S64" i="4" s="1"/>
  <c r="T64" i="4" s="1"/>
  <c r="N60" i="4"/>
  <c r="O60" i="4" s="1"/>
  <c r="S60" i="4" s="1"/>
  <c r="T60" i="4" s="1"/>
  <c r="N56" i="4"/>
  <c r="O56" i="4" s="1"/>
  <c r="S56" i="4" s="1"/>
  <c r="T56" i="4" s="1"/>
  <c r="N52" i="4"/>
  <c r="O52" i="4" s="1"/>
  <c r="S52" i="4" s="1"/>
  <c r="T52" i="4" s="1"/>
  <c r="N48" i="4"/>
  <c r="O48" i="4" s="1"/>
  <c r="S48" i="4" s="1"/>
  <c r="T48" i="4" s="1"/>
  <c r="N44" i="4"/>
  <c r="O44" i="4" s="1"/>
  <c r="S44" i="4" s="1"/>
  <c r="T44" i="4" s="1"/>
  <c r="N40" i="4"/>
  <c r="O40" i="4" s="1"/>
  <c r="S40" i="4" s="1"/>
  <c r="T40" i="4" s="1"/>
  <c r="N82" i="4"/>
  <c r="O82" i="4" s="1"/>
  <c r="S82" i="4" s="1"/>
  <c r="T82" i="4" s="1"/>
  <c r="N80" i="4"/>
  <c r="O80" i="4" s="1"/>
  <c r="S80" i="4" s="1"/>
  <c r="T80" i="4" s="1"/>
  <c r="N76" i="4"/>
  <c r="O76" i="4" s="1"/>
  <c r="S76" i="4" s="1"/>
  <c r="T76" i="4" s="1"/>
  <c r="N95" i="4"/>
  <c r="O95" i="4" s="1"/>
  <c r="S95" i="4" s="1"/>
  <c r="T95" i="4" s="1"/>
  <c r="N72" i="4"/>
  <c r="O72" i="4" s="1"/>
  <c r="S72" i="4" s="1"/>
  <c r="T72" i="4" s="1"/>
  <c r="N71" i="4"/>
  <c r="O71" i="4" s="1"/>
  <c r="S71" i="4" s="1"/>
  <c r="T71" i="4" s="1"/>
  <c r="N94" i="4"/>
  <c r="O94" i="4" s="1"/>
  <c r="S94" i="4" s="1"/>
  <c r="T94" i="4" s="1"/>
  <c r="N91" i="4"/>
  <c r="O91" i="4" s="1"/>
  <c r="S91" i="4" s="1"/>
  <c r="T91" i="4" s="1"/>
  <c r="N87" i="4"/>
  <c r="O87" i="4" s="1"/>
  <c r="S87" i="4" s="1"/>
  <c r="T87" i="4" s="1"/>
  <c r="N78" i="4"/>
  <c r="O78" i="4" s="1"/>
  <c r="S78" i="4" s="1"/>
  <c r="T78" i="4" s="1"/>
  <c r="N74" i="4"/>
  <c r="O74" i="4" s="1"/>
  <c r="S74" i="4" s="1"/>
  <c r="T74" i="4" s="1"/>
  <c r="N69" i="4"/>
  <c r="O69" i="4" s="1"/>
  <c r="S69" i="4" s="1"/>
  <c r="T69" i="4" s="1"/>
  <c r="N65" i="4"/>
  <c r="O65" i="4" s="1"/>
  <c r="S65" i="4" s="1"/>
  <c r="T65" i="4" s="1"/>
  <c r="N61" i="4"/>
  <c r="O61" i="4" s="1"/>
  <c r="S61" i="4" s="1"/>
  <c r="T61" i="4" s="1"/>
  <c r="N57" i="4"/>
  <c r="O57" i="4" s="1"/>
  <c r="S57" i="4" s="1"/>
  <c r="T57" i="4" s="1"/>
  <c r="N53" i="4"/>
  <c r="O53" i="4" s="1"/>
  <c r="S53" i="4" s="1"/>
  <c r="T53" i="4" s="1"/>
  <c r="N49" i="4"/>
  <c r="O49" i="4" s="1"/>
  <c r="S49" i="4" s="1"/>
  <c r="T49" i="4" s="1"/>
  <c r="N45" i="4"/>
  <c r="O45" i="4" s="1"/>
  <c r="S45" i="4" s="1"/>
  <c r="T45" i="4" s="1"/>
  <c r="N41" i="4"/>
  <c r="O41" i="4" s="1"/>
  <c r="S41" i="4" s="1"/>
  <c r="T41" i="4" s="1"/>
  <c r="N62" i="4"/>
  <c r="O62" i="4" s="1"/>
  <c r="S62" i="4" s="1"/>
  <c r="T62" i="4" s="1"/>
  <c r="N46" i="4"/>
  <c r="O46" i="4" s="1"/>
  <c r="S46" i="4" s="1"/>
  <c r="T46" i="4" s="1"/>
  <c r="N39" i="4"/>
  <c r="O39" i="4" s="1"/>
  <c r="N90" i="4"/>
  <c r="O90" i="4" s="1"/>
  <c r="S90" i="4" s="1"/>
  <c r="T90" i="4" s="1"/>
  <c r="N59" i="4"/>
  <c r="O59" i="4" s="1"/>
  <c r="S59" i="4" s="1"/>
  <c r="T59" i="4" s="1"/>
  <c r="N51" i="4"/>
  <c r="O51" i="4" s="1"/>
  <c r="S51" i="4" s="1"/>
  <c r="T51" i="4" s="1"/>
  <c r="N42" i="4"/>
  <c r="O42" i="4" s="1"/>
  <c r="S42" i="4" s="1"/>
  <c r="T42" i="4" s="1"/>
  <c r="N55" i="4"/>
  <c r="O55" i="4" s="1"/>
  <c r="S55" i="4" s="1"/>
  <c r="T55" i="4" s="1"/>
  <c r="N50" i="4"/>
  <c r="O50" i="4" s="1"/>
  <c r="S50" i="4" s="1"/>
  <c r="T50" i="4" s="1"/>
  <c r="N67" i="4"/>
  <c r="O67" i="4" s="1"/>
  <c r="S67" i="4" s="1"/>
  <c r="T67" i="4" s="1"/>
  <c r="N75" i="4"/>
  <c r="O75" i="4" s="1"/>
  <c r="S75" i="4" s="1"/>
  <c r="T75" i="4" s="1"/>
  <c r="N58" i="4"/>
  <c r="O58" i="4" s="1"/>
  <c r="S58" i="4" s="1"/>
  <c r="T58" i="4" s="1"/>
  <c r="N54" i="4"/>
  <c r="O54" i="4" s="1"/>
  <c r="S54" i="4" s="1"/>
  <c r="T54" i="4" s="1"/>
  <c r="N70" i="4"/>
  <c r="O70" i="4" s="1"/>
  <c r="S70" i="4" s="1"/>
  <c r="T70" i="4" s="1"/>
  <c r="N79" i="4"/>
  <c r="O79" i="4" s="1"/>
  <c r="S79" i="4" s="1"/>
  <c r="T79" i="4" s="1"/>
  <c r="N63" i="4"/>
  <c r="O63" i="4" s="1"/>
  <c r="S63" i="4" s="1"/>
  <c r="T63" i="4" s="1"/>
  <c r="N47" i="4"/>
  <c r="O47" i="4" s="1"/>
  <c r="S47" i="4" s="1"/>
  <c r="T47" i="4" s="1"/>
  <c r="N43" i="4"/>
  <c r="O43" i="4" s="1"/>
  <c r="S43" i="4" s="1"/>
  <c r="T43" i="4" s="1"/>
  <c r="N66" i="4"/>
  <c r="O66" i="4" s="1"/>
  <c r="S66" i="4" s="1"/>
  <c r="T66" i="4" s="1"/>
  <c r="I95" i="4"/>
  <c r="J95" i="4" s="1"/>
  <c r="I91" i="4"/>
  <c r="J91" i="4" s="1"/>
  <c r="I87" i="4"/>
  <c r="J87" i="4" s="1"/>
  <c r="I83" i="4"/>
  <c r="J83" i="4" s="1"/>
  <c r="I79" i="4"/>
  <c r="J79" i="4" s="1"/>
  <c r="I75" i="4"/>
  <c r="J75" i="4" s="1"/>
  <c r="I94" i="4"/>
  <c r="J94" i="4" s="1"/>
  <c r="I90" i="4"/>
  <c r="J90" i="4" s="1"/>
  <c r="I86" i="4"/>
  <c r="J86" i="4" s="1"/>
  <c r="I82" i="4"/>
  <c r="J82" i="4" s="1"/>
  <c r="I89" i="4"/>
  <c r="J89" i="4" s="1"/>
  <c r="I88" i="4"/>
  <c r="J88" i="4" s="1"/>
  <c r="I78" i="4"/>
  <c r="J78" i="4" s="1"/>
  <c r="I74" i="4"/>
  <c r="J74" i="4" s="1"/>
  <c r="I70" i="4"/>
  <c r="J70" i="4" s="1"/>
  <c r="I66" i="4"/>
  <c r="J66" i="4" s="1"/>
  <c r="I62" i="4"/>
  <c r="J62" i="4" s="1"/>
  <c r="I58" i="4"/>
  <c r="J58" i="4" s="1"/>
  <c r="I54" i="4"/>
  <c r="J54" i="4" s="1"/>
  <c r="I50" i="4"/>
  <c r="J50" i="4" s="1"/>
  <c r="I46" i="4"/>
  <c r="J46" i="4" s="1"/>
  <c r="I42" i="4"/>
  <c r="J42" i="4" s="1"/>
  <c r="I85" i="4"/>
  <c r="J85" i="4" s="1"/>
  <c r="I77" i="4"/>
  <c r="J77" i="4" s="1"/>
  <c r="I84" i="4"/>
  <c r="J84" i="4" s="1"/>
  <c r="I73" i="4"/>
  <c r="J73" i="4" s="1"/>
  <c r="I69" i="4"/>
  <c r="J69" i="4" s="1"/>
  <c r="I97" i="4"/>
  <c r="J97" i="4" s="1"/>
  <c r="I96" i="4"/>
  <c r="J96" i="4" s="1"/>
  <c r="I92" i="4"/>
  <c r="J92" i="4" s="1"/>
  <c r="I72" i="4"/>
  <c r="J72" i="4" s="1"/>
  <c r="I71" i="4"/>
  <c r="J71" i="4" s="1"/>
  <c r="I67" i="4"/>
  <c r="J67" i="4" s="1"/>
  <c r="I63" i="4"/>
  <c r="J63" i="4" s="1"/>
  <c r="I59" i="4"/>
  <c r="J59" i="4" s="1"/>
  <c r="I55" i="4"/>
  <c r="J55" i="4" s="1"/>
  <c r="I51" i="4"/>
  <c r="J51" i="4" s="1"/>
  <c r="I47" i="4"/>
  <c r="J47" i="4" s="1"/>
  <c r="I43" i="4"/>
  <c r="J43" i="4" s="1"/>
  <c r="I39" i="4"/>
  <c r="J39" i="4" s="1"/>
  <c r="I65" i="4"/>
  <c r="J65" i="4" s="1"/>
  <c r="I52" i="4"/>
  <c r="J52" i="4" s="1"/>
  <c r="I49" i="4"/>
  <c r="J49" i="4" s="1"/>
  <c r="I64" i="4"/>
  <c r="J64" i="4" s="1"/>
  <c r="I48" i="4"/>
  <c r="J48" i="4" s="1"/>
  <c r="I45" i="4"/>
  <c r="J45" i="4" s="1"/>
  <c r="I80" i="4"/>
  <c r="J80" i="4" s="1"/>
  <c r="I68" i="4"/>
  <c r="J68" i="4" s="1"/>
  <c r="I41" i="4"/>
  <c r="J41" i="4" s="1"/>
  <c r="I93" i="4"/>
  <c r="J93" i="4" s="1"/>
  <c r="I61" i="4"/>
  <c r="J61" i="4" s="1"/>
  <c r="I60" i="4"/>
  <c r="J60" i="4" s="1"/>
  <c r="I57" i="4"/>
  <c r="J57" i="4" s="1"/>
  <c r="I76" i="4"/>
  <c r="J76" i="4" s="1"/>
  <c r="I56" i="4"/>
  <c r="J56" i="4" s="1"/>
  <c r="I81" i="4"/>
  <c r="J81" i="4" s="1"/>
  <c r="I53" i="4"/>
  <c r="J53" i="4" s="1"/>
  <c r="I40" i="4"/>
  <c r="J40" i="4" s="1"/>
  <c r="I44" i="4"/>
  <c r="J44" i="4" s="1"/>
  <c r="I19" i="4"/>
  <c r="I20" i="4" s="1"/>
  <c r="S12" i="4"/>
  <c r="F17" i="2" s="1"/>
  <c r="S11" i="4"/>
  <c r="F16" i="2" s="1"/>
  <c r="P10" i="4"/>
  <c r="C15" i="2" s="1"/>
  <c r="H9" i="4"/>
  <c r="I9" i="4"/>
  <c r="G9" i="4"/>
  <c r="F9" i="4"/>
  <c r="J9" i="4"/>
  <c r="Q12" i="4"/>
  <c r="D17" i="2" s="1"/>
  <c r="Q10" i="4"/>
  <c r="D15" i="2" s="1"/>
  <c r="P8" i="4"/>
  <c r="C13" i="2" s="1"/>
  <c r="G19" i="4"/>
  <c r="G20" i="4" s="1"/>
  <c r="Q11" i="4"/>
  <c r="D16" i="2" s="1"/>
  <c r="S39" i="4"/>
  <c r="T39" i="4" s="1"/>
  <c r="H19" i="4"/>
  <c r="H20" i="4" s="1"/>
  <c r="P9" i="4"/>
  <c r="C14" i="2" s="1"/>
  <c r="R11" i="4"/>
  <c r="E16" i="2" s="1"/>
  <c r="R12" i="4"/>
  <c r="E17" i="2" s="1"/>
  <c r="R10" i="4"/>
  <c r="E15" i="2" s="1"/>
  <c r="F12" i="4"/>
  <c r="F11" i="4"/>
  <c r="X97" i="4"/>
  <c r="Y97" i="4" s="1"/>
  <c r="X93" i="4"/>
  <c r="Y93" i="4" s="1"/>
  <c r="X89" i="4"/>
  <c r="Y89" i="4" s="1"/>
  <c r="X85" i="4"/>
  <c r="Y85" i="4" s="1"/>
  <c r="X81" i="4"/>
  <c r="Y81" i="4" s="1"/>
  <c r="X77" i="4"/>
  <c r="Y77" i="4" s="1"/>
  <c r="X73" i="4"/>
  <c r="Y73" i="4" s="1"/>
  <c r="X96" i="4"/>
  <c r="Y96" i="4" s="1"/>
  <c r="X92" i="4"/>
  <c r="Y92" i="4" s="1"/>
  <c r="X88" i="4"/>
  <c r="Y88" i="4" s="1"/>
  <c r="X84" i="4"/>
  <c r="Y84" i="4" s="1"/>
  <c r="X80" i="4"/>
  <c r="Y80" i="4" s="1"/>
  <c r="X91" i="4"/>
  <c r="Y91" i="4" s="1"/>
  <c r="X90" i="4"/>
  <c r="Y90" i="4" s="1"/>
  <c r="X78" i="4"/>
  <c r="Y78" i="4" s="1"/>
  <c r="X74" i="4"/>
  <c r="Y74" i="4" s="1"/>
  <c r="X68" i="4"/>
  <c r="Y68" i="4" s="1"/>
  <c r="X64" i="4"/>
  <c r="Y64" i="4" s="1"/>
  <c r="X60" i="4"/>
  <c r="Y60" i="4" s="1"/>
  <c r="X56" i="4"/>
  <c r="Y56" i="4" s="1"/>
  <c r="X52" i="4"/>
  <c r="Y52" i="4" s="1"/>
  <c r="X48" i="4"/>
  <c r="Y48" i="4" s="1"/>
  <c r="X44" i="4"/>
  <c r="Y44" i="4" s="1"/>
  <c r="X40" i="4"/>
  <c r="Y40" i="4" s="1"/>
  <c r="X87" i="4"/>
  <c r="Y87" i="4" s="1"/>
  <c r="X86" i="4"/>
  <c r="Y86" i="4" s="1"/>
  <c r="X71" i="4"/>
  <c r="Y71" i="4" s="1"/>
  <c r="X83" i="4"/>
  <c r="Y83" i="4" s="1"/>
  <c r="X94" i="4"/>
  <c r="Y94" i="4" s="1"/>
  <c r="X79" i="4"/>
  <c r="Y79" i="4" s="1"/>
  <c r="X75" i="4"/>
  <c r="Y75" i="4" s="1"/>
  <c r="X69" i="4"/>
  <c r="Y69" i="4" s="1"/>
  <c r="X65" i="4"/>
  <c r="Y65" i="4" s="1"/>
  <c r="X61" i="4"/>
  <c r="Y61" i="4" s="1"/>
  <c r="X57" i="4"/>
  <c r="Y57" i="4" s="1"/>
  <c r="X53" i="4"/>
  <c r="Y53" i="4" s="1"/>
  <c r="X49" i="4"/>
  <c r="Y49" i="4" s="1"/>
  <c r="X45" i="4"/>
  <c r="Y45" i="4" s="1"/>
  <c r="X41" i="4"/>
  <c r="Y41" i="4" s="1"/>
  <c r="X66" i="4"/>
  <c r="Y66" i="4" s="1"/>
  <c r="X54" i="4"/>
  <c r="Y54" i="4" s="1"/>
  <c r="X43" i="4"/>
  <c r="Y43" i="4" s="1"/>
  <c r="X51" i="4"/>
  <c r="Y51" i="4" s="1"/>
  <c r="X82" i="4"/>
  <c r="Y82" i="4" s="1"/>
  <c r="X42" i="4"/>
  <c r="Y42" i="4" s="1"/>
  <c r="X63" i="4"/>
  <c r="Y63" i="4" s="1"/>
  <c r="X47" i="4"/>
  <c r="Y47" i="4" s="1"/>
  <c r="X39" i="4"/>
  <c r="Y39" i="4" s="1"/>
  <c r="X46" i="4"/>
  <c r="Y46" i="4" s="1"/>
  <c r="X59" i="4"/>
  <c r="Y59" i="4" s="1"/>
  <c r="X58" i="4"/>
  <c r="Y58" i="4" s="1"/>
  <c r="X70" i="4"/>
  <c r="Y70" i="4" s="1"/>
  <c r="X55" i="4"/>
  <c r="Y55" i="4" s="1"/>
  <c r="X95" i="4"/>
  <c r="Y95" i="4" s="1"/>
  <c r="X62" i="4"/>
  <c r="Y62" i="4" s="1"/>
  <c r="X76" i="4"/>
  <c r="Y76" i="4" s="1"/>
  <c r="X72" i="4"/>
  <c r="Y72" i="4" s="1"/>
  <c r="X67" i="4"/>
  <c r="Y67" i="4" s="1"/>
  <c r="X50" i="4"/>
  <c r="Y50" i="4" s="1"/>
  <c r="Q18" i="4" l="1"/>
  <c r="D22" i="2" s="1"/>
  <c r="C8" i="2"/>
  <c r="D57" i="2"/>
  <c r="D65" i="2" s="1"/>
  <c r="H9" i="2"/>
  <c r="P18" i="4"/>
  <c r="C22" i="2" s="1"/>
  <c r="F38" i="2"/>
  <c r="E8" i="2"/>
  <c r="P17" i="4"/>
  <c r="C21" i="2" s="1"/>
  <c r="F8" i="2"/>
  <c r="H8" i="2"/>
  <c r="F9" i="2"/>
  <c r="E9" i="2"/>
  <c r="G9" i="2"/>
  <c r="G8" i="2"/>
  <c r="D38" i="2"/>
  <c r="D9" i="2"/>
  <c r="D8" i="2"/>
  <c r="G10" i="4"/>
  <c r="D7" i="2" s="1"/>
  <c r="F42" i="2" s="1"/>
  <c r="F43" i="2" s="1"/>
  <c r="D66" i="2"/>
  <c r="H38" i="2"/>
  <c r="G38" i="2"/>
  <c r="E49" i="2"/>
  <c r="D56" i="2"/>
  <c r="B30" i="2"/>
  <c r="B33" i="2"/>
  <c r="B31" i="2"/>
  <c r="B32" i="2"/>
  <c r="B29" i="2"/>
  <c r="R21" i="4"/>
  <c r="E25" i="2" s="1"/>
  <c r="Q21" i="4"/>
  <c r="D25" i="2" s="1"/>
  <c r="Q20" i="4"/>
  <c r="D24" i="2" s="1"/>
  <c r="P20" i="4"/>
  <c r="C24" i="2" s="1"/>
  <c r="S21" i="4"/>
  <c r="F25" i="2" s="1"/>
  <c r="Q19" i="4"/>
  <c r="D23" i="2" s="1"/>
  <c r="P21" i="4"/>
  <c r="C25" i="2" s="1"/>
  <c r="C20" i="2"/>
  <c r="R19" i="4"/>
  <c r="E23" i="2" s="1"/>
  <c r="R29" i="4"/>
  <c r="E32" i="2" s="1"/>
  <c r="R28" i="4"/>
  <c r="E31" i="2" s="1"/>
  <c r="H10" i="4"/>
  <c r="E7" i="2" s="1"/>
  <c r="G42" i="2" s="1"/>
  <c r="G43" i="2" s="1"/>
  <c r="H11" i="4"/>
  <c r="R20" i="4"/>
  <c r="E24" i="2" s="1"/>
  <c r="S20" i="4"/>
  <c r="F24" i="2" s="1"/>
  <c r="I10" i="4"/>
  <c r="F7" i="2" s="1"/>
  <c r="H42" i="2" s="1"/>
  <c r="H43" i="2" s="1"/>
  <c r="S29" i="4"/>
  <c r="F32" i="2" s="1"/>
  <c r="J11" i="4"/>
  <c r="C23" i="2"/>
  <c r="G11" i="4"/>
  <c r="T21" i="4"/>
  <c r="G25" i="2" s="1"/>
  <c r="J10" i="4"/>
  <c r="G7" i="2" s="1"/>
  <c r="I42" i="2" s="1"/>
  <c r="I43" i="2" s="1"/>
  <c r="K11" i="4"/>
  <c r="I11" i="4"/>
  <c r="Q29" i="4"/>
  <c r="D32" i="2" s="1"/>
  <c r="Q28" i="4"/>
  <c r="D31" i="2" s="1"/>
  <c r="Q27" i="4"/>
  <c r="D30" i="2" s="1"/>
  <c r="AD39" i="4"/>
  <c r="K10" i="4" s="1"/>
  <c r="H7" i="2" s="1"/>
  <c r="J42" i="2" s="1"/>
  <c r="J43" i="2" s="1"/>
  <c r="D58" i="2" l="1"/>
  <c r="D63" i="2"/>
  <c r="D67" i="2"/>
  <c r="D60" i="2"/>
  <c r="D68" i="2"/>
  <c r="Q30" i="4"/>
  <c r="D33" i="2" s="1"/>
  <c r="T30" i="4"/>
  <c r="G33" i="2" s="1"/>
  <c r="E43" i="2"/>
  <c r="J44" i="2" s="1"/>
  <c r="R30" i="4"/>
  <c r="E33" i="2" s="1"/>
  <c r="S30" i="4"/>
  <c r="F33" i="2" s="1"/>
  <c r="D69" i="2" l="1"/>
  <c r="D70" i="2"/>
  <c r="H44" i="2"/>
  <c r="H45" i="2" s="1"/>
  <c r="G44" i="2"/>
  <c r="G45" i="2" s="1"/>
  <c r="J45" i="2"/>
  <c r="F44" i="2"/>
  <c r="I44" i="2"/>
  <c r="E46" i="2" l="1"/>
  <c r="E61" i="2" s="1"/>
  <c r="C61" i="2" s="1"/>
  <c r="I45" i="2"/>
  <c r="F45" i="2"/>
  <c r="E56" i="2"/>
  <c r="E44" i="2"/>
  <c r="E55" i="2"/>
  <c r="E64" i="2" s="1"/>
  <c r="C64" i="2" s="1"/>
  <c r="E51" i="2"/>
  <c r="E63" i="2" l="1"/>
  <c r="E67" i="2"/>
  <c r="E60" i="2"/>
  <c r="E47" i="2"/>
  <c r="E48" i="2" s="1"/>
  <c r="E50" i="2" s="1"/>
  <c r="C67" i="2" l="1"/>
  <c r="E70" i="2"/>
  <c r="C70" i="2" s="1"/>
  <c r="C63" i="2"/>
  <c r="E57" i="2"/>
  <c r="D54" i="2"/>
  <c r="J54" i="2"/>
  <c r="H54" i="2"/>
  <c r="G54" i="2"/>
  <c r="F54" i="2"/>
  <c r="I54" i="2"/>
  <c r="E58" i="2" l="1"/>
  <c r="E65" i="2"/>
  <c r="E62" i="2"/>
  <c r="C62" i="2" s="1"/>
  <c r="J32" i="4"/>
  <c r="G32" i="4"/>
  <c r="H32" i="4"/>
  <c r="I32" i="4"/>
  <c r="K32" i="4"/>
  <c r="C55" i="2"/>
  <c r="C56" i="2"/>
  <c r="C57" i="2"/>
  <c r="D7" i="5" s="1"/>
  <c r="C60" i="2" l="1"/>
  <c r="E66" i="2"/>
  <c r="C65" i="2"/>
  <c r="AF39" i="4"/>
  <c r="AF47" i="4"/>
  <c r="AK47" i="4" s="1"/>
  <c r="AF69" i="4"/>
  <c r="AK69" i="4" s="1"/>
  <c r="AF52" i="4"/>
  <c r="AK52" i="4" s="1"/>
  <c r="AF56" i="4"/>
  <c r="AK56" i="4" s="1"/>
  <c r="AF80" i="4"/>
  <c r="AK80" i="4" s="1"/>
  <c r="AF46" i="4"/>
  <c r="AK46" i="4" s="1"/>
  <c r="AF78" i="4"/>
  <c r="AK78" i="4" s="1"/>
  <c r="AF67" i="4"/>
  <c r="AK67" i="4" s="1"/>
  <c r="AF89" i="4"/>
  <c r="AK89" i="4" s="1"/>
  <c r="AF48" i="4"/>
  <c r="AK48" i="4" s="1"/>
  <c r="AF79" i="4"/>
  <c r="AK79" i="4" s="1"/>
  <c r="AF66" i="4"/>
  <c r="AK66" i="4" s="1"/>
  <c r="AF51" i="4"/>
  <c r="AK51" i="4" s="1"/>
  <c r="AF63" i="4"/>
  <c r="AK63" i="4" s="1"/>
  <c r="AF73" i="4"/>
  <c r="AK73" i="4" s="1"/>
  <c r="AF76" i="4"/>
  <c r="AK76" i="4" s="1"/>
  <c r="AF64" i="4"/>
  <c r="AK64" i="4" s="1"/>
  <c r="AF50" i="4"/>
  <c r="AK50" i="4" s="1"/>
  <c r="AF82" i="4"/>
  <c r="AK82" i="4" s="1"/>
  <c r="AF83" i="4"/>
  <c r="AK83" i="4" s="1"/>
  <c r="AF91" i="4"/>
  <c r="AK91" i="4" s="1"/>
  <c r="AF45" i="4"/>
  <c r="AK45" i="4" s="1"/>
  <c r="AF77" i="4"/>
  <c r="AK77" i="4" s="1"/>
  <c r="AF84" i="4"/>
  <c r="AK84" i="4" s="1"/>
  <c r="AF88" i="4"/>
  <c r="AK88" i="4" s="1"/>
  <c r="AF43" i="4"/>
  <c r="AK43" i="4" s="1"/>
  <c r="AF54" i="4"/>
  <c r="AK54" i="4" s="1"/>
  <c r="AF86" i="4"/>
  <c r="AK86" i="4" s="1"/>
  <c r="AF41" i="4"/>
  <c r="AK41" i="4" s="1"/>
  <c r="AF49" i="4"/>
  <c r="AK49" i="4" s="1"/>
  <c r="AF81" i="4"/>
  <c r="AK81" i="4" s="1"/>
  <c r="AF96" i="4"/>
  <c r="AK96" i="4" s="1"/>
  <c r="AF92" i="4"/>
  <c r="AK92" i="4" s="1"/>
  <c r="AF71" i="4"/>
  <c r="AK71" i="4" s="1"/>
  <c r="AF58" i="4"/>
  <c r="AK58" i="4" s="1"/>
  <c r="AF90" i="4"/>
  <c r="AK90" i="4" s="1"/>
  <c r="AF53" i="4"/>
  <c r="AK53" i="4" s="1"/>
  <c r="AF85" i="4"/>
  <c r="AK85" i="4" s="1"/>
  <c r="AF72" i="4"/>
  <c r="AK72" i="4" s="1"/>
  <c r="AF95" i="4"/>
  <c r="AK95" i="4" s="1"/>
  <c r="AF75" i="4"/>
  <c r="AK75" i="4" s="1"/>
  <c r="AF62" i="4"/>
  <c r="AK62" i="4" s="1"/>
  <c r="AF94" i="4"/>
  <c r="AK94" i="4" s="1"/>
  <c r="AF57" i="4"/>
  <c r="AK57" i="4" s="1"/>
  <c r="AF61" i="4"/>
  <c r="AK61" i="4" s="1"/>
  <c r="AF93" i="4"/>
  <c r="AK93" i="4" s="1"/>
  <c r="AF40" i="4"/>
  <c r="AK40" i="4" s="1"/>
  <c r="AF60" i="4"/>
  <c r="AK60" i="4" s="1"/>
  <c r="AF87" i="4"/>
  <c r="AK87" i="4" s="1"/>
  <c r="AF70" i="4"/>
  <c r="AK70" i="4" s="1"/>
  <c r="AF55" i="4"/>
  <c r="AK55" i="4" s="1"/>
  <c r="AF65" i="4"/>
  <c r="AK65" i="4" s="1"/>
  <c r="AF97" i="4"/>
  <c r="AK97" i="4" s="1"/>
  <c r="AF44" i="4"/>
  <c r="AK44" i="4" s="1"/>
  <c r="AF68" i="4"/>
  <c r="AK68" i="4" s="1"/>
  <c r="AF42" i="4"/>
  <c r="AK42" i="4" s="1"/>
  <c r="AF74" i="4"/>
  <c r="AK74" i="4" s="1"/>
  <c r="AF59" i="4"/>
  <c r="AK59" i="4" s="1"/>
  <c r="C7" i="5"/>
  <c r="C58" i="2"/>
  <c r="AK39" i="4" l="1"/>
  <c r="AK98" i="4" s="1"/>
  <c r="AK100" i="4"/>
  <c r="AK102" i="4"/>
  <c r="AK101" i="4"/>
  <c r="AE39" i="4"/>
  <c r="AE40" i="4" s="1"/>
  <c r="AE41" i="4" s="1"/>
  <c r="AE42" i="4" s="1"/>
  <c r="AE43" i="4" s="1"/>
  <c r="AE44" i="4" s="1"/>
  <c r="AE45" i="4" s="1"/>
  <c r="AE46" i="4" s="1"/>
  <c r="AE47" i="4" s="1"/>
  <c r="AE48" i="4" s="1"/>
  <c r="AE49" i="4" s="1"/>
  <c r="AE50" i="4" s="1"/>
  <c r="AE51" i="4" s="1"/>
  <c r="AE52" i="4" s="1"/>
  <c r="AE53" i="4" s="1"/>
  <c r="AE54" i="4" s="1"/>
  <c r="AE55" i="4" s="1"/>
  <c r="AE56" i="4" s="1"/>
  <c r="AE57" i="4" s="1"/>
  <c r="AE58" i="4" s="1"/>
  <c r="AE59" i="4" s="1"/>
  <c r="AE60" i="4" s="1"/>
  <c r="AE61" i="4" s="1"/>
  <c r="AE62" i="4" s="1"/>
  <c r="AE63" i="4" s="1"/>
  <c r="AE64" i="4" s="1"/>
  <c r="AE65" i="4" s="1"/>
  <c r="AE66" i="4" s="1"/>
  <c r="AE67" i="4" s="1"/>
  <c r="AE68" i="4" s="1"/>
  <c r="AE69" i="4" s="1"/>
  <c r="AE70" i="4" s="1"/>
  <c r="AE71" i="4" s="1"/>
  <c r="AE72" i="4" s="1"/>
  <c r="AE73" i="4" s="1"/>
  <c r="AE74" i="4" s="1"/>
  <c r="AE75" i="4" s="1"/>
  <c r="AE76" i="4" s="1"/>
  <c r="AE77" i="4" s="1"/>
  <c r="AE78" i="4" s="1"/>
  <c r="AE79" i="4" s="1"/>
  <c r="AE80" i="4" s="1"/>
  <c r="AE81" i="4" s="1"/>
  <c r="AE82" i="4" s="1"/>
  <c r="AE83" i="4" s="1"/>
  <c r="AE84" i="4" s="1"/>
  <c r="AE85" i="4" s="1"/>
  <c r="AE86" i="4" s="1"/>
  <c r="AE87" i="4" s="1"/>
  <c r="AE88" i="4" s="1"/>
  <c r="AE89" i="4" s="1"/>
  <c r="AE90" i="4" s="1"/>
  <c r="AE91" i="4" s="1"/>
  <c r="AE92" i="4" s="1"/>
  <c r="AE93" i="4" s="1"/>
  <c r="AE94" i="4" s="1"/>
  <c r="AE95" i="4" s="1"/>
  <c r="AE96" i="4" s="1"/>
  <c r="AE97" i="4" s="1"/>
  <c r="E68" i="2"/>
  <c r="C66" i="2"/>
  <c r="E6" i="5"/>
  <c r="F6" i="5" s="1"/>
  <c r="E22" i="5" s="1"/>
  <c r="C26" i="5"/>
  <c r="D21" i="5"/>
  <c r="D22" i="5"/>
  <c r="D14" i="5"/>
  <c r="D20" i="5"/>
  <c r="D17" i="5"/>
  <c r="D12" i="5"/>
  <c r="D13" i="5"/>
  <c r="D15" i="5"/>
  <c r="D16" i="5"/>
  <c r="D18" i="5"/>
  <c r="D19" i="5"/>
  <c r="D26" i="5" l="1"/>
  <c r="D7" i="6" s="1"/>
  <c r="AK99" i="4"/>
  <c r="C68" i="2"/>
  <c r="E69" i="2"/>
  <c r="C69" i="2" s="1"/>
  <c r="E19" i="5"/>
  <c r="F19" i="5" s="1"/>
  <c r="E21" i="5"/>
  <c r="F21" i="5" s="1"/>
  <c r="E12" i="5"/>
  <c r="F12" i="5" s="1"/>
  <c r="E16" i="5"/>
  <c r="F16" i="5" s="1"/>
  <c r="E15" i="5"/>
  <c r="F15" i="5" s="1"/>
  <c r="E17" i="5"/>
  <c r="F17" i="5" s="1"/>
  <c r="E20" i="5"/>
  <c r="F20" i="5" s="1"/>
  <c r="E13" i="5"/>
  <c r="F13" i="5" s="1"/>
  <c r="E14" i="5"/>
  <c r="F14" i="5" s="1"/>
  <c r="F22" i="5"/>
  <c r="E18" i="5"/>
  <c r="F18" i="5" s="1"/>
  <c r="E26" i="5"/>
  <c r="C24" i="5"/>
  <c r="E24" i="5" s="1"/>
  <c r="D29" i="5" l="1"/>
  <c r="F26" i="5"/>
  <c r="D8" i="6"/>
  <c r="D24" i="5"/>
  <c r="F24" i="5" s="1"/>
  <c r="D30" i="5" l="1"/>
  <c r="D33" i="5" s="1"/>
  <c r="D31" i="5"/>
  <c r="D15" i="6"/>
  <c r="D32" i="5"/>
  <c r="D34" i="5"/>
  <c r="D14" i="6" l="1"/>
  <c r="D23" i="6" s="1"/>
  <c r="D35" i="5"/>
  <c r="D12" i="6"/>
  <c r="D13" i="6" s="1"/>
  <c r="F21" i="6" l="1"/>
  <c r="C23" i="6"/>
  <c r="F24" i="6" l="1"/>
  <c r="P9" i="6"/>
  <c r="F29" i="6"/>
  <c r="F33" i="6"/>
  <c r="F25" i="6"/>
  <c r="F27" i="6"/>
  <c r="E23" i="6"/>
  <c r="F32" i="6"/>
  <c r="F26" i="6"/>
  <c r="F23" i="6"/>
  <c r="F28" i="6"/>
  <c r="F30" i="6"/>
  <c r="F3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Bumchan Ahn</author>
  </authors>
  <commentList>
    <comment ref="J13" authorId="0" shapeId="0" xr:uid="{02210D0E-BF1B-A949-B4E1-19B17E7AD47E}">
      <text>
        <r>
          <rPr>
            <b/>
            <sz val="10"/>
            <color rgb="FF000000"/>
            <rFont val="Tahoma"/>
            <family val="2"/>
          </rPr>
          <t>Paul Bumchan Ahn: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Can not use this alpha since the p-value is higher than 0.1</t>
        </r>
      </text>
    </comment>
    <comment ref="K13" authorId="0" shapeId="0" xr:uid="{EB314F0F-C89D-F249-BFFD-0FB669981991}">
      <text>
        <r>
          <rPr>
            <b/>
            <sz val="10"/>
            <color rgb="FF000000"/>
            <rFont val="Tahoma"/>
            <family val="2"/>
          </rPr>
          <t>Paul Bumchan Ahn: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imesNewRomanPSMT"/>
          </rPr>
          <t xml:space="preserve">Can not use this alpha since the p-value is higher than 0.1
</t>
        </r>
      </text>
    </comment>
    <comment ref="G14" authorId="0" shapeId="0" xr:uid="{F374F30E-AAB4-994C-A43B-5873015CCD26}">
      <text>
        <r>
          <rPr>
            <b/>
            <sz val="10"/>
            <color rgb="FF000000"/>
            <rFont val="Tahoma"/>
            <family val="2"/>
          </rPr>
          <t>Paul Bumchan Ahn: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Adjust the alpha as the market is too over heated
</t>
        </r>
      </text>
    </comment>
    <comment ref="H14" authorId="0" shapeId="0" xr:uid="{DC6C0CA1-6AFB-004E-8FDE-2FB0C73ACF32}">
      <text>
        <r>
          <rPr>
            <b/>
            <sz val="10"/>
            <color rgb="FF000000"/>
            <rFont val="Tahoma"/>
            <family val="2"/>
          </rPr>
          <t>Paul Bumchan Ahn: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imesNewRomanPSMT"/>
          </rPr>
          <t>Adjust the alpha as the market is too over heated</t>
        </r>
        <r>
          <rPr>
            <sz val="10"/>
            <color rgb="FF000000"/>
            <rFont val="TimesNewRomanPSMT"/>
          </rPr>
          <t xml:space="preserve">
</t>
        </r>
      </text>
    </comment>
    <comment ref="I14" authorId="0" shapeId="0" xr:uid="{1D770127-085A-AE43-A646-F950990EC30A}">
      <text>
        <r>
          <rPr>
            <b/>
            <sz val="10"/>
            <color rgb="FF000000"/>
            <rFont val="Tahoma"/>
            <family val="2"/>
          </rPr>
          <t>Paul Bumchan Ahn: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imesNewRomanPSMT"/>
          </rPr>
          <t>Adjust the alpha as the market is too over heated</t>
        </r>
        <r>
          <rPr>
            <sz val="10"/>
            <color rgb="FF000000"/>
            <rFont val="TimesNewRomanPSMT"/>
          </rPr>
          <t xml:space="preserve">
</t>
        </r>
      </text>
    </comment>
    <comment ref="J16" authorId="0" shapeId="0" xr:uid="{3C231A0C-3248-6D4F-B1FA-394976F16C93}">
      <text>
        <r>
          <rPr>
            <b/>
            <sz val="10"/>
            <color rgb="FF000000"/>
            <rFont val="Tahoma"/>
            <family val="2"/>
          </rPr>
          <t>Paul Bumchan Ahn: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imesNewRomanPSMT"/>
          </rPr>
          <t xml:space="preserve">Adjust the alpha as the market is too over heated
</t>
        </r>
      </text>
    </comment>
    <comment ref="K16" authorId="0" shapeId="0" xr:uid="{7FBD8CBF-82B0-C74F-8A5E-9F33C15D60AF}">
      <text>
        <r>
          <rPr>
            <b/>
            <sz val="10"/>
            <color rgb="FF000000"/>
            <rFont val="Tahoma"/>
            <family val="2"/>
          </rPr>
          <t>Paul Bumchan Ahn: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imesNewRomanPSMT"/>
          </rPr>
          <t xml:space="preserve">Adjust the alpha as the market is too over heated
</t>
        </r>
      </text>
    </comment>
    <comment ref="E27" authorId="0" shapeId="0" xr:uid="{EDE8E749-D47D-AF4D-B918-C219470FF9C7}">
      <text>
        <r>
          <rPr>
            <b/>
            <sz val="10"/>
            <color rgb="FF000000"/>
            <rFont val="Tahoma"/>
            <family val="2"/>
          </rPr>
          <t>Paul Bumchan Ahn:</t>
        </r>
        <r>
          <rPr>
            <sz val="10"/>
            <color rgb="FF000000"/>
            <rFont val="Tahoma"/>
            <family val="2"/>
          </rPr>
          <t>Historical average P/E of the benchmark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<sst xmlns="http://schemas.openxmlformats.org/spreadsheetml/2006/main" count="484" uniqueCount="340">
  <si>
    <t>Panel A. Risk Parameters of Pf A (annualized)</t>
  </si>
  <si>
    <t>Beta</t>
  </si>
  <si>
    <t>SD of Excess Return</t>
  </si>
  <si>
    <t>SD of Residual (e), Firm specific Component</t>
  </si>
  <si>
    <t>SD of Systematic Component</t>
  </si>
  <si>
    <t>Correlation with the Market Index</t>
  </si>
  <si>
    <t>Panel B. Correlation Matrix</t>
  </si>
  <si>
    <t>Panel C. The Index Model Covariance Matrix</t>
  </si>
  <si>
    <t>Panel D. Correlation of Residuals in Pf A</t>
  </si>
  <si>
    <t>Panel F. Active Portfolio</t>
  </si>
  <si>
    <t xml:space="preserve">Active Pf </t>
  </si>
  <si>
    <t>Residual Variance of each security</t>
  </si>
  <si>
    <t>Initial position of each security</t>
  </si>
  <si>
    <t>Scaled initial position of each security</t>
  </si>
  <si>
    <t>Squared scaled initial position of each security</t>
  </si>
  <si>
    <t>Alpha of the Active Pf</t>
  </si>
  <si>
    <t>Residual Variance of Active Pf</t>
  </si>
  <si>
    <t>Active Pf information ratio (APIR)</t>
  </si>
  <si>
    <t>Index Pf information ratio (IPIR)</t>
  </si>
  <si>
    <t>Initial position in Active Pf (APIR/IPIR)</t>
  </si>
  <si>
    <t>Beta of the Active Pf</t>
  </si>
  <si>
    <t>Panel G. Optimal Risky Portfolios</t>
  </si>
  <si>
    <t>Overall Risky Pf</t>
  </si>
  <si>
    <t>Risk Premium</t>
  </si>
  <si>
    <t>Standard Deviation</t>
  </si>
  <si>
    <t>Sharpe Ratio</t>
  </si>
  <si>
    <t>Data. Security Index Model</t>
  </si>
  <si>
    <t>Panel 1. Risk &amp; Return Parameters in the Security Index Model</t>
  </si>
  <si>
    <t>Panel 2. Correlation and Covariance Matrixs in the Security Index Model</t>
  </si>
  <si>
    <t>Estimates annualized</t>
  </si>
  <si>
    <t>T-bill</t>
  </si>
  <si>
    <t>NVDA</t>
  </si>
  <si>
    <t>Correl (via Index)</t>
  </si>
  <si>
    <t>Covariance (via Index)</t>
  </si>
  <si>
    <t>SD of Residuals (e)</t>
  </si>
  <si>
    <t>SD of Systematic component</t>
  </si>
  <si>
    <t>Covariance</t>
  </si>
  <si>
    <t xml:space="preserve">Beta </t>
  </si>
  <si>
    <t>Correlation with Index</t>
  </si>
  <si>
    <t>R Squared (Market Determination)</t>
  </si>
  <si>
    <t>1-R Squared (Firms Specific)</t>
  </si>
  <si>
    <t>Correl of Residuals</t>
  </si>
  <si>
    <t>EPS (TTM)</t>
  </si>
  <si>
    <t>PE Ratio (TTM)</t>
  </si>
  <si>
    <t>1y Forward Dividend ($)</t>
  </si>
  <si>
    <t>1y Forward Dividend Yield (%)</t>
  </si>
  <si>
    <t>Panel 3. Price information. monthly rate of return and excess returns</t>
  </si>
  <si>
    <t>60 months</t>
  </si>
  <si>
    <t>Dates</t>
  </si>
  <si>
    <t>Prices</t>
  </si>
  <si>
    <t>Monthly
rate</t>
  </si>
  <si>
    <t>Exces 
return</t>
  </si>
  <si>
    <t>Mkt Prem. Systematic component</t>
  </si>
  <si>
    <t>Residuals. Unsystematic component</t>
  </si>
  <si>
    <t>Asset Classes Allocation Analysis: Optimal Complete Pf Model</t>
  </si>
  <si>
    <t>Capital Allocation &gt; Asset Classes Allocation &gt; Security Selection</t>
  </si>
  <si>
    <t>Securities</t>
  </si>
  <si>
    <t>Expected Return</t>
  </si>
  <si>
    <t>Corr. Coefficient B,E</t>
  </si>
  <si>
    <t>Covariance B,E</t>
  </si>
  <si>
    <t>T-Bill</t>
  </si>
  <si>
    <t>Risky Asset Portfolio: Weights</t>
  </si>
  <si>
    <t>Reward to Variability</t>
  </si>
  <si>
    <t>Bond weight</t>
  </si>
  <si>
    <t>Equity weight</t>
  </si>
  <si>
    <t>(Sharpe ratio)</t>
  </si>
  <si>
    <t>short-not allowed</t>
  </si>
  <si>
    <t>B. Optimal Risky Portfolio. Maximum of Sharpe ratio</t>
  </si>
  <si>
    <t>Max. of Sharpe Ratio</t>
  </si>
  <si>
    <t>Weight y: Optimal Risky Portfolio</t>
  </si>
  <si>
    <t>Weight (1-y): Risk-Free Asset</t>
  </si>
  <si>
    <t>Bond weight in the Optimal Complete Pf</t>
  </si>
  <si>
    <t>Equity weight in the Optimal Complete Pf</t>
  </si>
  <si>
    <t>E(rc): expected return of the Complete pf</t>
  </si>
  <si>
    <t>𝜎 c: SD of Complete pf</t>
  </si>
  <si>
    <t>Sharpe Ratio (Max. Slope of CAL)</t>
  </si>
  <si>
    <t xml:space="preserve"> </t>
  </si>
  <si>
    <t>Capital Allocation. Optimal Captial Allocation using Maixum Utility</t>
  </si>
  <si>
    <t>Risky Pf (P) only</t>
  </si>
  <si>
    <t>rf: rate of return of risk-free asset</t>
  </si>
  <si>
    <t>E(Rp): expected return of risky pf</t>
  </si>
  <si>
    <r>
      <rPr>
        <b/>
        <sz val="12"/>
        <rFont val="Times New Roman"/>
        <family val="1"/>
      </rPr>
      <t>𝜎 p</t>
    </r>
    <r>
      <rPr>
        <sz val="12"/>
        <rFont val="Times New Roman"/>
        <family val="1"/>
      </rPr>
      <t>: SD of risky pf</t>
    </r>
  </si>
  <si>
    <t>Complete Pf (C). Risk free + Risky Pf</t>
  </si>
  <si>
    <t>y: weight of risky pf</t>
  </si>
  <si>
    <t>1-y: weight of risk free asset</t>
  </si>
  <si>
    <t>Equity Pf (E)</t>
  </si>
  <si>
    <t>Bond Pf (B)</t>
  </si>
  <si>
    <t>Equity Pf</t>
  </si>
  <si>
    <t>Active Pf Weights* (Index model)</t>
  </si>
  <si>
    <t xml:space="preserve">Risk Tolerance Score </t>
  </si>
  <si>
    <t xml:space="preserve">Utility at the risk aversion level </t>
  </si>
  <si>
    <t>C. Optimal Complete Portfolio with U w/ Risk-Free Asset</t>
  </si>
  <si>
    <t>Risk Aversion Index (A: 1~20)*</t>
  </si>
  <si>
    <t xml:space="preserve">Expected excess return </t>
  </si>
  <si>
    <t>Alpha (Non-market risk premium in the index model)</t>
  </si>
  <si>
    <r>
      <t>s</t>
    </r>
    <r>
      <rPr>
        <vertAlign val="superscript"/>
        <sz val="12"/>
        <rFont val="Verdana"/>
        <family val="2"/>
      </rPr>
      <t>2</t>
    </r>
    <r>
      <rPr>
        <sz val="12"/>
        <rFont val="Verdana"/>
        <family val="2"/>
      </rPr>
      <t>(</t>
    </r>
    <r>
      <rPr>
        <i/>
        <sz val="12"/>
        <rFont val="Aptos Narrow"/>
        <family val="2"/>
        <scheme val="minor"/>
      </rPr>
      <t>e</t>
    </r>
    <r>
      <rPr>
        <sz val="12"/>
        <rFont val="Verdana"/>
        <family val="2"/>
      </rPr>
      <t>)</t>
    </r>
  </si>
  <si>
    <r>
      <rPr>
        <i/>
        <sz val="12"/>
        <rFont val="Aptos Narrow"/>
        <family val="2"/>
        <scheme val="minor"/>
      </rPr>
      <t>w</t>
    </r>
    <r>
      <rPr>
        <i/>
        <vertAlign val="subscript"/>
        <sz val="12"/>
        <rFont val="Aptos Narrow"/>
        <family val="2"/>
        <scheme val="minor"/>
      </rPr>
      <t>i</t>
    </r>
    <r>
      <rPr>
        <sz val="12"/>
        <rFont val="Symbol"/>
        <family val="1"/>
        <charset val="2"/>
      </rPr>
      <t>(</t>
    </r>
    <r>
      <rPr>
        <sz val="12"/>
        <rFont val="Aptos Narrow"/>
        <family val="2"/>
        <scheme val="minor"/>
      </rPr>
      <t>0</t>
    </r>
    <r>
      <rPr>
        <sz val="12"/>
        <rFont val="Symbol"/>
        <family val="1"/>
        <charset val="2"/>
      </rPr>
      <t>) = a</t>
    </r>
    <r>
      <rPr>
        <i/>
        <vertAlign val="subscript"/>
        <sz val="12"/>
        <rFont val="Aptos Narrow"/>
        <family val="2"/>
        <scheme val="minor"/>
      </rPr>
      <t>i</t>
    </r>
    <r>
      <rPr>
        <sz val="12"/>
        <rFont val="Symbol"/>
        <family val="1"/>
        <charset val="2"/>
      </rPr>
      <t>/s</t>
    </r>
    <r>
      <rPr>
        <vertAlign val="superscript"/>
        <sz val="12"/>
        <rFont val="Symbol"/>
        <family val="1"/>
        <charset val="2"/>
      </rPr>
      <t>2</t>
    </r>
    <r>
      <rPr>
        <sz val="12"/>
        <rFont val="Symbol"/>
        <family val="1"/>
        <charset val="2"/>
      </rPr>
      <t>(</t>
    </r>
    <r>
      <rPr>
        <i/>
        <sz val="12"/>
        <rFont val="Aptos Narrow"/>
        <family val="2"/>
        <scheme val="minor"/>
      </rPr>
      <t>e</t>
    </r>
    <r>
      <rPr>
        <sz val="12"/>
        <rFont val="Symbol"/>
        <family val="1"/>
        <charset val="2"/>
      </rPr>
      <t>)</t>
    </r>
  </si>
  <si>
    <r>
      <t>w</t>
    </r>
    <r>
      <rPr>
        <i/>
        <vertAlign val="subscript"/>
        <sz val="12"/>
        <rFont val="Aptos Narrow"/>
        <family val="2"/>
        <scheme val="minor"/>
      </rPr>
      <t>i</t>
    </r>
  </si>
  <si>
    <r>
      <t>[</t>
    </r>
    <r>
      <rPr>
        <i/>
        <sz val="12"/>
        <rFont val="Aptos Narrow"/>
        <family val="2"/>
        <scheme val="minor"/>
      </rPr>
      <t>w</t>
    </r>
    <r>
      <rPr>
        <i/>
        <vertAlign val="subscript"/>
        <sz val="12"/>
        <rFont val="Aptos Narrow"/>
        <family val="2"/>
        <scheme val="minor"/>
      </rPr>
      <t>i</t>
    </r>
    <r>
      <rPr>
        <sz val="12"/>
        <rFont val="Aptos Narrow"/>
        <family val="2"/>
        <scheme val="minor"/>
      </rPr>
      <t>(0)]</t>
    </r>
    <r>
      <rPr>
        <vertAlign val="superscript"/>
        <sz val="12"/>
        <rFont val="Aptos Narrow"/>
        <family val="2"/>
        <scheme val="minor"/>
      </rPr>
      <t>2</t>
    </r>
  </si>
  <si>
    <r>
      <t>a</t>
    </r>
    <r>
      <rPr>
        <i/>
        <vertAlign val="subscript"/>
        <sz val="12"/>
        <rFont val="Aptos Narrow"/>
        <family val="2"/>
        <scheme val="minor"/>
      </rPr>
      <t>A</t>
    </r>
    <r>
      <rPr>
        <sz val="12"/>
        <rFont val="Symbol"/>
        <family val="1"/>
        <charset val="2"/>
      </rPr>
      <t xml:space="preserve"> </t>
    </r>
  </si>
  <si>
    <r>
      <t>s</t>
    </r>
    <r>
      <rPr>
        <vertAlign val="superscript"/>
        <sz val="12"/>
        <rFont val="Symbol"/>
        <family val="1"/>
        <charset val="2"/>
      </rPr>
      <t>2</t>
    </r>
    <r>
      <rPr>
        <sz val="12"/>
        <rFont val="Verdana"/>
        <family val="2"/>
      </rPr>
      <t>(</t>
    </r>
    <r>
      <rPr>
        <i/>
        <sz val="12"/>
        <rFont val="Aptos Narrow"/>
        <family val="2"/>
        <scheme val="minor"/>
      </rPr>
      <t>e</t>
    </r>
    <r>
      <rPr>
        <i/>
        <vertAlign val="subscript"/>
        <sz val="12"/>
        <rFont val="Verdana"/>
        <family val="2"/>
      </rPr>
      <t>A</t>
    </r>
    <r>
      <rPr>
        <sz val="12"/>
        <rFont val="Verdana"/>
        <family val="2"/>
      </rPr>
      <t>)</t>
    </r>
  </si>
  <si>
    <r>
      <t>a</t>
    </r>
    <r>
      <rPr>
        <sz val="9"/>
        <rFont val="Symbol"/>
        <family val="1"/>
        <charset val="2"/>
      </rPr>
      <t>A</t>
    </r>
    <r>
      <rPr>
        <sz val="12"/>
        <rFont val="Symbol"/>
        <family val="1"/>
        <charset val="2"/>
      </rPr>
      <t xml:space="preserve">  / s</t>
    </r>
    <r>
      <rPr>
        <vertAlign val="superscript"/>
        <sz val="12"/>
        <rFont val="Symbol"/>
        <family val="1"/>
        <charset val="2"/>
      </rPr>
      <t>2</t>
    </r>
    <r>
      <rPr>
        <sz val="12"/>
        <rFont val="Verdana"/>
        <family val="2"/>
      </rPr>
      <t>(</t>
    </r>
    <r>
      <rPr>
        <i/>
        <sz val="12"/>
        <rFont val="Aptos Narrow"/>
        <family val="2"/>
        <scheme val="minor"/>
      </rPr>
      <t>e</t>
    </r>
    <r>
      <rPr>
        <i/>
        <vertAlign val="subscript"/>
        <sz val="12"/>
        <rFont val="Verdana"/>
        <family val="2"/>
      </rPr>
      <t>A</t>
    </r>
    <r>
      <rPr>
        <sz val="12"/>
        <rFont val="Verdana"/>
        <family val="2"/>
      </rPr>
      <t>)</t>
    </r>
  </si>
  <si>
    <r>
      <t>E(R</t>
    </r>
    <r>
      <rPr>
        <i/>
        <vertAlign val="subscript"/>
        <sz val="12"/>
        <color theme="1"/>
        <rFont val="Aptos Narrow"/>
        <family val="2"/>
        <scheme val="minor"/>
      </rPr>
      <t>M</t>
    </r>
    <r>
      <rPr>
        <i/>
        <sz val="12"/>
        <color theme="1"/>
        <rFont val="Aptos Narrow"/>
        <family val="2"/>
        <scheme val="minor"/>
      </rPr>
      <t>)</t>
    </r>
    <r>
      <rPr>
        <sz val="12"/>
        <color theme="1"/>
        <rFont val="TimesNewRomanPSMT"/>
        <family val="2"/>
      </rPr>
      <t>/</t>
    </r>
    <r>
      <rPr>
        <sz val="12"/>
        <color theme="1"/>
        <rFont val="Symbol"/>
        <family val="1"/>
        <charset val="2"/>
      </rPr>
      <t>s</t>
    </r>
    <r>
      <rPr>
        <i/>
        <vertAlign val="superscript"/>
        <sz val="12"/>
        <color theme="1"/>
        <rFont val="Aptos Narrow"/>
        <family val="2"/>
        <scheme val="minor"/>
      </rPr>
      <t>2</t>
    </r>
    <r>
      <rPr>
        <sz val="12"/>
        <color theme="1"/>
        <rFont val="TimesNewRomanPSMT"/>
        <family val="2"/>
      </rPr>
      <t>(</t>
    </r>
    <r>
      <rPr>
        <i/>
        <sz val="12"/>
        <color theme="1"/>
        <rFont val="Aptos Narrow"/>
        <family val="2"/>
        <scheme val="minor"/>
      </rPr>
      <t>M</t>
    </r>
    <r>
      <rPr>
        <sz val="12"/>
        <color theme="1"/>
        <rFont val="TimesNewRomanPSMT"/>
        <family val="2"/>
      </rPr>
      <t>)</t>
    </r>
  </si>
  <si>
    <r>
      <rPr>
        <i/>
        <sz val="12"/>
        <rFont val="Times New Roman"/>
        <family val="1"/>
      </rPr>
      <t>w</t>
    </r>
    <r>
      <rPr>
        <i/>
        <vertAlign val="subscript"/>
        <sz val="12"/>
        <rFont val="Times New Roman"/>
        <family val="1"/>
      </rPr>
      <t>A</t>
    </r>
    <r>
      <rPr>
        <sz val="12"/>
        <rFont val="Times New Roman"/>
        <family val="1"/>
      </rPr>
      <t>(0)</t>
    </r>
  </si>
  <si>
    <r>
      <t>b</t>
    </r>
    <r>
      <rPr>
        <i/>
        <vertAlign val="subscript"/>
        <sz val="12"/>
        <rFont val="Aptos Narrow"/>
        <family val="2"/>
        <scheme val="minor"/>
      </rPr>
      <t>A</t>
    </r>
  </si>
  <si>
    <t>w*(Optimal Pf): Short not allowed</t>
  </si>
  <si>
    <t>Min. Standard Deviation</t>
  </si>
  <si>
    <t>E(rc): expected return of the Overall Complete pf</t>
  </si>
  <si>
    <t>𝜎 c: SD of Overall Complete pf</t>
  </si>
  <si>
    <t xml:space="preserve">Index Portfolio Model. SPDR + Active Portfolio (Large Growth) </t>
  </si>
  <si>
    <t xml:space="preserve">Adjusted Market risk premium =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</si>
  <si>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</si>
  <si>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</si>
  <si>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</si>
  <si>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</si>
  <si>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</si>
  <si>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</si>
  <si>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</si>
  <si>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</si>
  <si>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</si>
  <si>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</si>
  <si>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</si>
  <si>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</si>
  <si>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</si>
  <si>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</si>
  <si>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</si>
  <si>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</si>
  <si>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Coefficients</t>
  </si>
  <si>
    <t>t Stat</t>
  </si>
  <si>
    <t>P-value</t>
  </si>
  <si>
    <t>X Variable 1</t>
  </si>
  <si>
    <t>Alpha in CAPM (10 yrs market premium)</t>
  </si>
  <si>
    <r>
      <t xml:space="preserve">Total Equity Risk Premium </t>
    </r>
    <r>
      <rPr>
        <b/>
        <i/>
        <sz val="12"/>
        <color theme="1"/>
        <rFont val="Times New Roman"/>
        <family val="1"/>
      </rPr>
      <t>E(R)</t>
    </r>
  </si>
  <si>
    <t>Adjusted Alpha (a x avg. Market PE / Stock PE)</t>
  </si>
  <si>
    <t>Adjusted Alpha in CAPM  (a x avg. Market PE / Stock PE)</t>
  </si>
  <si>
    <t>E(rc) on CAL</t>
  </si>
  <si>
    <t>𝜎 c</t>
  </si>
  <si>
    <t>E(rc) on Indiff.</t>
  </si>
  <si>
    <t>W of risky pf: y</t>
  </si>
  <si>
    <t>Utiliity</t>
  </si>
  <si>
    <t>Max. U</t>
  </si>
  <si>
    <t>Slope: Capital Allocation Line ( Sharpe)</t>
  </si>
  <si>
    <t xml:space="preserve">A. Minimum Variance Portfolio of Risky Assets </t>
  </si>
  <si>
    <t>Benchmark
 Exces 
return</t>
  </si>
  <si>
    <t>Adjusted Price of Equity Pf
(Back data)</t>
  </si>
  <si>
    <t>Active Pf Exces 
return 
(Back data)</t>
  </si>
  <si>
    <t>Efficient Frontier meets CAL with Optimal Risky Pf</t>
  </si>
  <si>
    <t>1y Target Est. (Consensus)</t>
  </si>
  <si>
    <t>Small / Medium / Large</t>
  </si>
  <si>
    <t>Value / Blend / Growth</t>
  </si>
  <si>
    <t>Tech</t>
  </si>
  <si>
    <t>Growth</t>
  </si>
  <si>
    <t>Large</t>
  </si>
  <si>
    <t>Stock Info.</t>
  </si>
  <si>
    <t>Pf Style.</t>
  </si>
  <si>
    <t>Sector (industry)</t>
  </si>
  <si>
    <t>Themes</t>
  </si>
  <si>
    <t>AI</t>
  </si>
  <si>
    <t>Credit (Investment / High Yield)</t>
  </si>
  <si>
    <t>Duration (longer / shorter)</t>
  </si>
  <si>
    <t>Issuers (Corporate / Government)</t>
  </si>
  <si>
    <t>Inflation / close-ended / sector…</t>
  </si>
  <si>
    <t>Maturity</t>
  </si>
  <si>
    <t>Coupon ($100 par)</t>
  </si>
  <si>
    <t>Yield to maturity</t>
  </si>
  <si>
    <t>Coupon (frequency)</t>
  </si>
  <si>
    <t>Semiannual</t>
  </si>
  <si>
    <t xml:space="preserve">Convexity (C) </t>
  </si>
  <si>
    <t>Current Bond Price</t>
  </si>
  <si>
    <t>Modified Duration (D*)</t>
  </si>
  <si>
    <t>Changes in YTM</t>
  </si>
  <si>
    <t>with D* only</t>
  </si>
  <si>
    <t>Bond Price change</t>
  </si>
  <si>
    <t xml:space="preserve">with D* and Convexity </t>
  </si>
  <si>
    <t>YTM down 100bps</t>
  </si>
  <si>
    <t>Selectivity (%)</t>
  </si>
  <si>
    <t>Diversification Effect (%)</t>
  </si>
  <si>
    <t>Net Selectivity (%)</t>
  </si>
  <si>
    <t>net Risk Premium of Pf</t>
  </si>
  <si>
    <t xml:space="preserve">Overall Performance </t>
  </si>
  <si>
    <t xml:space="preserve">CAPM </t>
  </si>
  <si>
    <t>Ratio of total risk (𝜎p/𝜎m)</t>
  </si>
  <si>
    <t>CML</t>
  </si>
  <si>
    <t>Performance Measures</t>
  </si>
  <si>
    <t xml:space="preserve">Panel E. Macro Forecast and Alpha Forecasts </t>
  </si>
  <si>
    <r>
      <t>Treynor Measure (</t>
    </r>
    <r>
      <rPr>
        <b/>
        <i/>
        <sz val="12"/>
        <color theme="1"/>
        <rFont val="Times New Roman"/>
        <family val="1"/>
      </rPr>
      <t>T</t>
    </r>
    <r>
      <rPr>
        <b/>
        <sz val="12"/>
        <color theme="1"/>
        <rFont val="Times New Roman"/>
        <family val="1"/>
      </rPr>
      <t>)</t>
    </r>
  </si>
  <si>
    <r>
      <t>Jensen Measure (</t>
    </r>
    <r>
      <rPr>
        <b/>
        <i/>
        <sz val="12"/>
        <color theme="1"/>
        <rFont val="Times New Roman"/>
        <family val="1"/>
      </rPr>
      <t>a</t>
    </r>
    <r>
      <rPr>
        <b/>
        <sz val="12"/>
        <color theme="1"/>
        <rFont val="Times New Roman"/>
        <family val="1"/>
      </rPr>
      <t>)</t>
    </r>
  </si>
  <si>
    <r>
      <t>Information Ratio Measure (</t>
    </r>
    <r>
      <rPr>
        <b/>
        <i/>
        <sz val="12"/>
        <color theme="1"/>
        <rFont val="Times New Roman"/>
        <family val="1"/>
      </rPr>
      <t>IR</t>
    </r>
    <r>
      <rPr>
        <b/>
        <sz val="12"/>
        <color theme="1"/>
        <rFont val="Times New Roman"/>
        <family val="1"/>
      </rPr>
      <t>)</t>
    </r>
  </si>
  <si>
    <r>
      <t>Sharpe Ratio (</t>
    </r>
    <r>
      <rPr>
        <b/>
        <i/>
        <sz val="12"/>
        <color theme="1"/>
        <rFont val="Times New Roman"/>
        <family val="1"/>
      </rPr>
      <t>S</t>
    </r>
    <r>
      <rPr>
        <b/>
        <sz val="12"/>
        <color theme="1"/>
        <rFont val="Times New Roman"/>
        <family val="1"/>
      </rPr>
      <t>)</t>
    </r>
  </si>
  <si>
    <t>*Bear (1~5), Normal (1~10), Bull (1~20), Bubble (1~30)</t>
  </si>
  <si>
    <t>Benchmark Check</t>
  </si>
  <si>
    <t>Active Pf Excess Retun - Benchmark (Back Data)</t>
  </si>
  <si>
    <t>Tracking Error</t>
  </si>
  <si>
    <t>Correlation</t>
  </si>
  <si>
    <t>R^2</t>
  </si>
  <si>
    <t>Blend</t>
  </si>
  <si>
    <t>SLOPE</t>
  </si>
  <si>
    <t>Current Stock Price</t>
  </si>
  <si>
    <t>1y Target return</t>
  </si>
  <si>
    <t>Adjusted Alpha in CAPM</t>
  </si>
  <si>
    <t>MA</t>
  </si>
  <si>
    <t>Visa Inc Class A (V)</t>
  </si>
  <si>
    <t>Mastercard Inc (MA)</t>
  </si>
  <si>
    <t>Taiwan Semiconductor Manufacturing (TSM)</t>
  </si>
  <si>
    <t>Alphabet Inc Class A (GOOGL)</t>
  </si>
  <si>
    <t>NVIDIA Corporation (NVDA)</t>
  </si>
  <si>
    <t>V</t>
  </si>
  <si>
    <t>TSM</t>
  </si>
  <si>
    <t>GOOGL</t>
  </si>
  <si>
    <t>Invesco QQQ Trust (QQQ)</t>
  </si>
  <si>
    <t>QQQ</t>
  </si>
  <si>
    <t>Financial Services</t>
  </si>
  <si>
    <t>Electronic Payments</t>
  </si>
  <si>
    <t>Semiconductor</t>
  </si>
  <si>
    <t>Online search, AI</t>
  </si>
  <si>
    <t>Communication Services</t>
  </si>
  <si>
    <t>iShares 20+ Year Treasury Bond ETF (TLT)</t>
  </si>
  <si>
    <t>TLT</t>
  </si>
  <si>
    <t>1.02B</t>
  </si>
  <si>
    <t>982.34M</t>
  </si>
  <si>
    <t>585.21M</t>
  </si>
  <si>
    <t>677.10M</t>
  </si>
  <si>
    <t>627.46M</t>
  </si>
  <si>
    <t>567.73M</t>
  </si>
  <si>
    <t>660.23M</t>
  </si>
  <si>
    <t>694.85M</t>
  </si>
  <si>
    <t>908.59M</t>
  </si>
  <si>
    <t>801.62M</t>
  </si>
  <si>
    <t>550.60M</t>
  </si>
  <si>
    <t>730.61M</t>
  </si>
  <si>
    <t>1.07B</t>
  </si>
  <si>
    <t>905.02M</t>
  </si>
  <si>
    <t>866.30M</t>
  </si>
  <si>
    <t>973.04M</t>
  </si>
  <si>
    <t>867.70M</t>
  </si>
  <si>
    <t>971.63M</t>
  </si>
  <si>
    <t>1.24B</t>
  </si>
  <si>
    <t>960.07M</t>
  </si>
  <si>
    <t>1.20B</t>
  </si>
  <si>
    <t>974.89M</t>
  </si>
  <si>
    <t>1.14B</t>
  </si>
  <si>
    <t>1.15B</t>
  </si>
  <si>
    <t>993.55M</t>
  </si>
  <si>
    <t>1.55B</t>
  </si>
  <si>
    <t>1.09B</t>
  </si>
  <si>
    <t>961.93M</t>
  </si>
  <si>
    <t>1.06B</t>
  </si>
  <si>
    <t>1.36B</t>
  </si>
  <si>
    <t>1.37B</t>
  </si>
  <si>
    <t>1.18B</t>
  </si>
  <si>
    <t>1.95B</t>
  </si>
  <si>
    <t>1.50B</t>
  </si>
  <si>
    <t>1.69B</t>
  </si>
  <si>
    <t>1.52B</t>
  </si>
  <si>
    <t>1.85B</t>
  </si>
  <si>
    <t>1.23B</t>
  </si>
  <si>
    <t>922.24M</t>
  </si>
  <si>
    <t>878.75M</t>
  </si>
  <si>
    <t>931.92M</t>
  </si>
  <si>
    <t>683.69M</t>
  </si>
  <si>
    <t>813.29M</t>
  </si>
  <si>
    <t>751.29M</t>
  </si>
  <si>
    <t>965.41M</t>
  </si>
  <si>
    <t>771.17M</t>
  </si>
  <si>
    <t>1.62B</t>
  </si>
  <si>
    <t>795.58M</t>
  </si>
  <si>
    <t>655.57M</t>
  </si>
  <si>
    <t>570.28M</t>
  </si>
  <si>
    <t>751.82M</t>
  </si>
  <si>
    <t>937.16M</t>
  </si>
  <si>
    <t>1.33B</t>
  </si>
  <si>
    <t>701.61M</t>
  </si>
  <si>
    <t>925.20M</t>
  </si>
  <si>
    <t>928.72M</t>
  </si>
  <si>
    <t>847.31M</t>
  </si>
  <si>
    <t>2.19B</t>
  </si>
  <si>
    <t>954.56M</t>
  </si>
  <si>
    <t>587.17M</t>
  </si>
  <si>
    <t>431.20M</t>
  </si>
  <si>
    <t>352.36M</t>
  </si>
  <si>
    <t>585.00M</t>
  </si>
  <si>
    <t>556.69M</t>
  </si>
  <si>
    <t>817.52M</t>
  </si>
  <si>
    <t>494.38M</t>
  </si>
  <si>
    <t>688.73M</t>
  </si>
  <si>
    <t>901.55M</t>
  </si>
  <si>
    <t>550.16M</t>
  </si>
  <si>
    <t>781.97M</t>
  </si>
  <si>
    <t>535.96M</t>
  </si>
  <si>
    <t>933.65M</t>
  </si>
  <si>
    <t>1.40B</t>
  </si>
  <si>
    <t>1.82B</t>
  </si>
  <si>
    <t>645.53M</t>
  </si>
  <si>
    <t>667.52M</t>
  </si>
  <si>
    <t>709.03M</t>
  </si>
  <si>
    <t>784.34M</t>
  </si>
  <si>
    <t>687.99M</t>
  </si>
  <si>
    <t>987.69M</t>
  </si>
  <si>
    <t>698.39M</t>
  </si>
  <si>
    <t>622.38M</t>
  </si>
  <si>
    <t>584.20M</t>
  </si>
  <si>
    <t>549.09M</t>
  </si>
  <si>
    <t>632.25M</t>
  </si>
  <si>
    <t>810.77M</t>
  </si>
  <si>
    <t>705.00M</t>
  </si>
  <si>
    <t>1.05B</t>
  </si>
  <si>
    <t>534.92M</t>
  </si>
  <si>
    <t>388.25M</t>
  </si>
  <si>
    <t>442.96M</t>
  </si>
  <si>
    <t>307.44M</t>
  </si>
  <si>
    <t>366.25M</t>
  </si>
  <si>
    <t>498.41M</t>
  </si>
  <si>
    <t>598.12M</t>
  </si>
  <si>
    <t>406.94M</t>
  </si>
  <si>
    <t>541.70M</t>
  </si>
  <si>
    <t>369.27M</t>
  </si>
  <si>
    <t>421.07M</t>
  </si>
  <si>
    <t>580.01M</t>
  </si>
  <si>
    <t>537.65M</t>
  </si>
  <si>
    <t>559.25M</t>
  </si>
  <si>
    <t>602.37M</t>
  </si>
  <si>
    <t>942.26M</t>
  </si>
  <si>
    <t>1.08B</t>
  </si>
  <si>
    <t>757.51M</t>
  </si>
  <si>
    <t>543.41M</t>
  </si>
  <si>
    <t>740.63M</t>
  </si>
  <si>
    <t>881.20M</t>
  </si>
  <si>
    <t>1.01B</t>
  </si>
  <si>
    <t>644.89M</t>
  </si>
  <si>
    <t>577.03M</t>
  </si>
  <si>
    <t>518.23M</t>
  </si>
  <si>
    <t>Change %</t>
  </si>
  <si>
    <t>Vol.</t>
  </si>
  <si>
    <t>Low</t>
  </si>
  <si>
    <t>High</t>
  </si>
  <si>
    <t>Open</t>
  </si>
  <si>
    <t>Price</t>
  </si>
  <si>
    <t>Date</t>
  </si>
  <si>
    <t>Calculate the approximate price change for a TLT using only its D* and using D* and Convexity</t>
  </si>
  <si>
    <t>TLT has the following characteristics: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</si>
</sst>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3" formatCode="_(* #,##0.00_);_(* \(#,##0.00\);_(* &quot;-&quot;??_);_(@_)"/>
    <numFmt numFmtId="164" formatCode="0.0000"/>
    <numFmt numFmtId="165" formatCode="0.000000"/>
    <numFmt numFmtId="166" formatCode="_(* #,##0.0000_);_(* \(#,##0.0000\);_(* &quot;-&quot;??_);_(@_)"/>
    <numFmt numFmtId="167" formatCode="_(* #,##0.000000_);_(* \(#,##0.000000\);_(* &quot;-&quot;??_);_(@_)"/>
    <numFmt numFmtId="168" formatCode="_(* #,##0.00000_);_(* \(#,##0.00000\);_(* &quot;-&quot;??_);_(@_)"/>
    <numFmt numFmtId="169" formatCode="0.0"/>
    <numFmt numFmtId="170" formatCode="0.00000"/>
    <numFmt numFmtId="171" formatCode="0.0000%"/>
  </numFmts>
  <fonts count="64">
    <font>
      <sz val="12"/>
      <color theme="1"/>
      <name val="TimesNewRomanPSMT"/>
      <family val="2"/>
    </font>
    <font>
      <sz val="11"/>
      <color theme="1"/>
      <name val="Aptos Narrow"/>
      <family val="2"/>
      <scheme val="minor"/>
    </font>
    <font>
      <sz val="12"/>
      <color theme="1"/>
      <name val="TimesNewRomanPSMT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Times New Roman"/>
      <family val="1"/>
    </font>
    <font>
      <i/>
      <sz val="12"/>
      <color rgb="FFC00000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i/>
      <sz val="12"/>
      <color theme="1"/>
      <name val="Times New Roman"/>
      <family val="1"/>
    </font>
    <font>
      <sz val="12"/>
      <color rgb="FFC00000"/>
      <name val="Times New Roman"/>
      <family val="1"/>
    </font>
    <font>
      <b/>
      <i/>
      <sz val="12"/>
      <color theme="1"/>
      <name val="Times New Roman"/>
      <family val="1"/>
    </font>
    <font>
      <sz val="12"/>
      <name val="Symbol"/>
      <family val="1"/>
      <charset val="2"/>
    </font>
    <font>
      <i/>
      <sz val="12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rgb="FFC00000"/>
      <name val="Times New Roman"/>
      <family val="1"/>
    </font>
    <font>
      <b/>
      <sz val="26"/>
      <color theme="1"/>
      <name val="Times New Roman"/>
      <family val="1"/>
    </font>
    <font>
      <sz val="12"/>
      <color theme="0"/>
      <name val="Times New Roman"/>
      <family val="1"/>
    </font>
    <font>
      <b/>
      <sz val="22"/>
      <color theme="1"/>
      <name val="Times New Roman"/>
      <family val="1"/>
    </font>
    <font>
      <b/>
      <sz val="16"/>
      <color theme="1"/>
      <name val="Times New Roman"/>
      <family val="1"/>
    </font>
    <font>
      <i/>
      <sz val="12"/>
      <color rgb="FF000000"/>
      <name val="Times New Roman"/>
      <family val="1"/>
    </font>
    <font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24"/>
      <color theme="3"/>
      <name val="Times New Roman"/>
      <family val="1"/>
    </font>
    <font>
      <sz val="8"/>
      <name val="Cambria"/>
      <family val="1"/>
    </font>
    <font>
      <sz val="10"/>
      <name val="Arial"/>
      <family val="2"/>
    </font>
    <font>
      <b/>
      <sz val="24"/>
      <color theme="4" tint="-0.499984740745262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i/>
      <sz val="12"/>
      <color rgb="FFC00000"/>
      <name val="Times New Roman"/>
      <family val="1"/>
    </font>
    <font>
      <sz val="8"/>
      <name val="Times New Roman"/>
      <family val="1"/>
    </font>
    <font>
      <b/>
      <sz val="10"/>
      <color rgb="FFC00000"/>
      <name val="Times New Roman"/>
      <family val="1"/>
    </font>
    <font>
      <b/>
      <sz val="12"/>
      <color theme="5" tint="-0.249977111117893"/>
      <name val="Times New Roman"/>
      <family val="1"/>
    </font>
    <font>
      <vertAlign val="superscript"/>
      <sz val="12"/>
      <name val="Verdana"/>
      <family val="2"/>
    </font>
    <font>
      <sz val="12"/>
      <name val="Verdana"/>
      <family val="2"/>
    </font>
    <font>
      <i/>
      <vertAlign val="subscript"/>
      <sz val="12"/>
      <name val="Aptos Narrow"/>
      <family val="2"/>
      <scheme val="minor"/>
    </font>
    <font>
      <vertAlign val="superscript"/>
      <sz val="12"/>
      <name val="Symbol"/>
      <family val="1"/>
      <charset val="2"/>
    </font>
    <font>
      <vertAlign val="superscript"/>
      <sz val="12"/>
      <name val="Aptos Narrow"/>
      <family val="2"/>
      <scheme val="minor"/>
    </font>
    <font>
      <i/>
      <vertAlign val="subscript"/>
      <sz val="12"/>
      <name val="Verdana"/>
      <family val="2"/>
    </font>
    <font>
      <sz val="9"/>
      <name val="Symbol"/>
      <family val="1"/>
      <charset val="2"/>
    </font>
    <font>
      <i/>
      <vertAlign val="subscript"/>
      <sz val="12"/>
      <color theme="1"/>
      <name val="Aptos Narrow"/>
      <family val="2"/>
      <scheme val="minor"/>
    </font>
    <font>
      <sz val="12"/>
      <color theme="1"/>
      <name val="Symbol"/>
      <family val="1"/>
      <charset val="2"/>
    </font>
    <font>
      <i/>
      <vertAlign val="superscript"/>
      <sz val="12"/>
      <color theme="1"/>
      <name val="Aptos Narrow"/>
      <family val="2"/>
      <scheme val="minor"/>
    </font>
    <font>
      <i/>
      <sz val="12"/>
      <name val="Times New Roman"/>
      <family val="1"/>
    </font>
    <font>
      <i/>
      <vertAlign val="subscript"/>
      <sz val="12"/>
      <name val="Times New Roman"/>
      <family val="1"/>
    </font>
    <font>
      <i/>
      <sz val="10"/>
      <name val="Times New Roman"/>
      <family val="1"/>
    </font>
    <font>
      <i/>
      <sz val="12"/>
      <color theme="1"/>
      <name val="TimesNewRomanPSMT"/>
      <family val="2"/>
    </font>
    <font>
      <b/>
      <sz val="20"/>
      <color theme="4" tint="-0.499984740745262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NewRomanPSMT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imesNewRomanPSMT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6">
    <xf numFmtId="0" fontId="0" fillId="0" borderId="0"/>
    <xf numFmtId="9" fontId="2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0" fontId="3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</cellStyleXfs>
  <cellXfs count="352">
    <xf numFmtId="0" fontId="0" fillId="0" borderId="0" xfId="0"/>
    <xf numFmtId="43" fontId="5" fillId="0" borderId="0" xfId="3" applyFont="1" applyBorder="1" applyAlignment="1">
      <alignment vertical="center"/>
    </xf>
    <xf numFmtId="43" fontId="5" fillId="0" borderId="0" xfId="3" applyFont="1" applyAlignment="1">
      <alignment vertical="center"/>
    </xf>
    <xf numFmtId="0" fontId="8" fillId="0" borderId="0" xfId="4" applyFont="1" applyAlignment="1">
      <alignment vertical="center"/>
    </xf>
    <xf numFmtId="0" fontId="9" fillId="0" borderId="1" xfId="4" applyFont="1" applyBorder="1" applyAlignment="1">
      <alignment vertical="center"/>
    </xf>
    <xf numFmtId="0" fontId="8" fillId="0" borderId="1" xfId="4" applyFont="1" applyBorder="1" applyAlignment="1">
      <alignment vertical="center"/>
    </xf>
    <xf numFmtId="0" fontId="9" fillId="0" borderId="3" xfId="4" applyFont="1" applyBorder="1" applyAlignment="1">
      <alignment horizontal="left" vertical="center" wrapText="1"/>
    </xf>
    <xf numFmtId="164" fontId="8" fillId="0" borderId="0" xfId="4" applyNumberFormat="1" applyFont="1" applyAlignment="1">
      <alignment horizontal="right" vertical="center"/>
    </xf>
    <xf numFmtId="164" fontId="8" fillId="2" borderId="0" xfId="4" applyNumberFormat="1" applyFont="1" applyFill="1" applyAlignment="1">
      <alignment horizontal="right" vertical="center"/>
    </xf>
    <xf numFmtId="0" fontId="9" fillId="0" borderId="0" xfId="4" applyFont="1" applyAlignment="1">
      <alignment horizontal="left" vertical="center" wrapText="1"/>
    </xf>
    <xf numFmtId="164" fontId="8" fillId="0" borderId="1" xfId="4" applyNumberFormat="1" applyFont="1" applyBorder="1" applyAlignment="1">
      <alignment horizontal="right" vertical="center"/>
    </xf>
    <xf numFmtId="0" fontId="9" fillId="0" borderId="3" xfId="5" applyFont="1" applyBorder="1" applyAlignment="1">
      <alignment horizontal="left" vertical="center"/>
    </xf>
    <xf numFmtId="0" fontId="11" fillId="0" borderId="0" xfId="4" applyFont="1" applyAlignment="1">
      <alignment horizontal="center" vertical="center"/>
    </xf>
    <xf numFmtId="0" fontId="9" fillId="0" borderId="3" xfId="4" applyFont="1" applyBorder="1" applyAlignment="1">
      <alignment vertical="center"/>
    </xf>
    <xf numFmtId="0" fontId="12" fillId="0" borderId="0" xfId="4" applyFont="1" applyAlignment="1">
      <alignment vertical="center"/>
    </xf>
    <xf numFmtId="0" fontId="9" fillId="0" borderId="4" xfId="4" applyFont="1" applyBorder="1" applyAlignment="1">
      <alignment vertical="center"/>
    </xf>
    <xf numFmtId="0" fontId="9" fillId="0" borderId="0" xfId="4" applyFont="1" applyAlignment="1">
      <alignment horizontal="left" vertical="center"/>
    </xf>
    <xf numFmtId="165" fontId="8" fillId="0" borderId="0" xfId="4" applyNumberFormat="1" applyFont="1" applyAlignment="1">
      <alignment vertical="center"/>
    </xf>
    <xf numFmtId="0" fontId="14" fillId="0" borderId="3" xfId="5" applyFont="1" applyBorder="1" applyAlignment="1">
      <alignment vertical="center"/>
    </xf>
    <xf numFmtId="0" fontId="8" fillId="0" borderId="9" xfId="4" applyFont="1" applyBorder="1" applyAlignment="1">
      <alignment vertical="center"/>
    </xf>
    <xf numFmtId="0" fontId="8" fillId="0" borderId="3" xfId="4" applyFont="1" applyBorder="1" applyAlignment="1">
      <alignment horizontal="right" vertical="center"/>
    </xf>
    <xf numFmtId="0" fontId="15" fillId="0" borderId="3" xfId="5" applyFont="1" applyBorder="1" applyAlignment="1">
      <alignment vertical="center"/>
    </xf>
    <xf numFmtId="0" fontId="16" fillId="0" borderId="4" xfId="5" applyFont="1" applyBorder="1" applyAlignment="1">
      <alignment vertical="center"/>
    </xf>
    <xf numFmtId="0" fontId="8" fillId="0" borderId="10" xfId="4" applyFont="1" applyBorder="1" applyAlignment="1">
      <alignment vertical="center"/>
    </xf>
    <xf numFmtId="164" fontId="8" fillId="0" borderId="4" xfId="4" applyNumberFormat="1" applyFont="1" applyBorder="1" applyAlignment="1">
      <alignment vertical="center"/>
    </xf>
    <xf numFmtId="0" fontId="17" fillId="0" borderId="3" xfId="5" applyFont="1" applyBorder="1" applyAlignment="1">
      <alignment vertical="center"/>
    </xf>
    <xf numFmtId="0" fontId="5" fillId="0" borderId="3" xfId="5" applyFont="1" applyBorder="1" applyAlignment="1">
      <alignment vertical="center"/>
    </xf>
    <xf numFmtId="0" fontId="9" fillId="0" borderId="0" xfId="4" applyFont="1" applyAlignment="1">
      <alignment vertical="center"/>
    </xf>
    <xf numFmtId="164" fontId="8" fillId="0" borderId="0" xfId="4" applyNumberFormat="1" applyFont="1" applyAlignment="1">
      <alignment vertical="center"/>
    </xf>
    <xf numFmtId="0" fontId="8" fillId="0" borderId="1" xfId="4" applyFont="1" applyBorder="1" applyAlignment="1">
      <alignment horizontal="right" vertical="center"/>
    </xf>
    <xf numFmtId="0" fontId="8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7" fillId="0" borderId="0" xfId="5" applyFont="1" applyAlignment="1">
      <alignment vertical="center"/>
    </xf>
    <xf numFmtId="0" fontId="22" fillId="0" borderId="0" xfId="5" applyFont="1" applyAlignment="1">
      <alignment vertical="center"/>
    </xf>
    <xf numFmtId="0" fontId="23" fillId="0" borderId="0" xfId="5" applyFont="1" applyAlignment="1">
      <alignment horizontal="right" vertical="center"/>
    </xf>
    <xf numFmtId="0" fontId="8" fillId="0" borderId="1" xfId="6" applyFont="1" applyBorder="1" applyAlignment="1">
      <alignment vertical="center"/>
    </xf>
    <xf numFmtId="0" fontId="20" fillId="0" borderId="1" xfId="6" applyFont="1" applyBorder="1" applyAlignment="1">
      <alignment vertical="center"/>
    </xf>
    <xf numFmtId="0" fontId="9" fillId="0" borderId="0" xfId="6" applyFont="1" applyAlignment="1">
      <alignment vertical="center"/>
    </xf>
    <xf numFmtId="0" fontId="9" fillId="0" borderId="11" xfId="6" applyFont="1" applyBorder="1" applyAlignment="1">
      <alignment vertical="center"/>
    </xf>
    <xf numFmtId="164" fontId="8" fillId="2" borderId="0" xfId="3" applyNumberFormat="1" applyFont="1" applyFill="1" applyBorder="1" applyAlignment="1">
      <alignment vertical="center"/>
    </xf>
    <xf numFmtId="166" fontId="8" fillId="2" borderId="0" xfId="3" applyNumberFormat="1" applyFont="1" applyFill="1" applyAlignment="1">
      <alignment vertical="center"/>
    </xf>
    <xf numFmtId="166" fontId="9" fillId="0" borderId="0" xfId="3" applyNumberFormat="1" applyFont="1" applyFill="1" applyBorder="1" applyAlignment="1">
      <alignment horizontal="right" vertical="center" wrapText="1"/>
    </xf>
    <xf numFmtId="0" fontId="8" fillId="0" borderId="3" xfId="6" applyFont="1" applyBorder="1" applyAlignment="1">
      <alignment vertical="center"/>
    </xf>
    <xf numFmtId="166" fontId="8" fillId="2" borderId="0" xfId="3" applyNumberFormat="1" applyFont="1" applyFill="1" applyBorder="1" applyAlignment="1">
      <alignment vertical="center"/>
    </xf>
    <xf numFmtId="166" fontId="8" fillId="0" borderId="0" xfId="3" applyNumberFormat="1" applyFont="1" applyFill="1" applyBorder="1" applyAlignment="1">
      <alignment vertical="center"/>
    </xf>
    <xf numFmtId="0" fontId="9" fillId="0" borderId="1" xfId="6" applyFont="1" applyBorder="1" applyAlignment="1">
      <alignment vertical="center"/>
    </xf>
    <xf numFmtId="0" fontId="8" fillId="0" borderId="4" xfId="6" applyFont="1" applyBorder="1" applyAlignment="1">
      <alignment vertical="center"/>
    </xf>
    <xf numFmtId="164" fontId="8" fillId="0" borderId="1" xfId="3" applyNumberFormat="1" applyFont="1" applyBorder="1" applyAlignment="1">
      <alignment vertical="center"/>
    </xf>
    <xf numFmtId="164" fontId="8" fillId="2" borderId="1" xfId="3" applyNumberFormat="1" applyFont="1" applyFill="1" applyBorder="1" applyAlignment="1">
      <alignment vertical="center"/>
    </xf>
    <xf numFmtId="43" fontId="8" fillId="0" borderId="0" xfId="3" applyFont="1" applyAlignment="1">
      <alignment vertical="center"/>
    </xf>
    <xf numFmtId="166" fontId="8" fillId="0" borderId="0" xfId="3" applyNumberFormat="1" applyFont="1" applyAlignment="1">
      <alignment vertical="center"/>
    </xf>
    <xf numFmtId="164" fontId="8" fillId="0" borderId="0" xfId="3" applyNumberFormat="1" applyFont="1" applyBorder="1" applyAlignment="1">
      <alignment vertical="center"/>
    </xf>
    <xf numFmtId="164" fontId="8" fillId="2" borderId="0" xfId="3" applyNumberFormat="1" applyFont="1" applyFill="1" applyBorder="1" applyAlignment="1">
      <alignment horizontal="right" vertical="center"/>
    </xf>
    <xf numFmtId="166" fontId="8" fillId="2" borderId="0" xfId="3" applyNumberFormat="1" applyFont="1" applyFill="1" applyBorder="1" applyAlignment="1">
      <alignment horizontal="right" vertical="center"/>
    </xf>
    <xf numFmtId="166" fontId="8" fillId="0" borderId="0" xfId="3" applyNumberFormat="1" applyFont="1" applyFill="1" applyBorder="1" applyAlignment="1">
      <alignment horizontal="right" vertical="center"/>
    </xf>
    <xf numFmtId="43" fontId="9" fillId="0" borderId="0" xfId="3" applyFont="1" applyFill="1" applyBorder="1" applyAlignment="1">
      <alignment horizontal="right" vertical="center"/>
    </xf>
    <xf numFmtId="167" fontId="8" fillId="0" borderId="0" xfId="3" applyNumberFormat="1" applyFont="1" applyFill="1" applyBorder="1" applyAlignment="1">
      <alignment vertical="center"/>
    </xf>
    <xf numFmtId="0" fontId="24" fillId="0" borderId="1" xfId="6" applyFont="1" applyBorder="1" applyAlignment="1">
      <alignment vertical="center"/>
    </xf>
    <xf numFmtId="0" fontId="24" fillId="0" borderId="4" xfId="6" applyFont="1" applyBorder="1" applyAlignment="1">
      <alignment vertical="center"/>
    </xf>
    <xf numFmtId="0" fontId="8" fillId="0" borderId="12" xfId="6" applyFont="1" applyBorder="1" applyAlignment="1">
      <alignment vertical="center"/>
    </xf>
    <xf numFmtId="0" fontId="24" fillId="0" borderId="0" xfId="6" applyFont="1" applyAlignment="1">
      <alignment vertical="center"/>
    </xf>
    <xf numFmtId="168" fontId="8" fillId="0" borderId="0" xfId="6" applyNumberFormat="1" applyFont="1" applyAlignment="1">
      <alignment vertical="center"/>
    </xf>
    <xf numFmtId="0" fontId="25" fillId="0" borderId="4" xfId="6" applyFont="1" applyBorder="1" applyAlignment="1">
      <alignment horizontal="right" vertical="center" wrapText="1"/>
    </xf>
    <xf numFmtId="0" fontId="26" fillId="0" borderId="6" xfId="6" applyFont="1" applyBorder="1" applyAlignment="1">
      <alignment horizontal="right" vertical="center" wrapText="1"/>
    </xf>
    <xf numFmtId="0" fontId="26" fillId="0" borderId="1" xfId="6" applyFont="1" applyBorder="1" applyAlignment="1">
      <alignment horizontal="right" vertical="center" wrapText="1"/>
    </xf>
    <xf numFmtId="0" fontId="26" fillId="0" borderId="4" xfId="6" applyFont="1" applyBorder="1" applyAlignment="1">
      <alignment horizontal="right" vertical="center" wrapText="1"/>
    </xf>
    <xf numFmtId="0" fontId="8" fillId="0" borderId="0" xfId="6" applyFont="1" applyAlignment="1">
      <alignment vertical="center" wrapText="1"/>
    </xf>
    <xf numFmtId="0" fontId="27" fillId="0" borderId="0" xfId="6" applyFont="1" applyAlignment="1">
      <alignment vertical="center"/>
    </xf>
    <xf numFmtId="0" fontId="27" fillId="0" borderId="3" xfId="6" applyFont="1" applyBorder="1" applyAlignment="1">
      <alignment vertical="center"/>
    </xf>
    <xf numFmtId="10" fontId="27" fillId="2" borderId="0" xfId="8" applyNumberFormat="1" applyFont="1" applyFill="1" applyBorder="1" applyAlignment="1">
      <alignment vertical="center"/>
    </xf>
    <xf numFmtId="10" fontId="27" fillId="2" borderId="3" xfId="8" applyNumberFormat="1" applyFont="1" applyFill="1" applyBorder="1" applyAlignment="1">
      <alignment vertical="center"/>
    </xf>
    <xf numFmtId="14" fontId="8" fillId="0" borderId="0" xfId="5" applyNumberFormat="1" applyFont="1" applyAlignment="1">
      <alignment vertical="center"/>
    </xf>
    <xf numFmtId="0" fontId="8" fillId="0" borderId="0" xfId="5" applyFont="1" applyAlignment="1">
      <alignment vertical="center"/>
    </xf>
    <xf numFmtId="164" fontId="8" fillId="2" borderId="0" xfId="5" applyNumberFormat="1" applyFont="1" applyFill="1" applyAlignment="1">
      <alignment horizontal="right" vertical="center"/>
    </xf>
    <xf numFmtId="166" fontId="9" fillId="2" borderId="0" xfId="5" applyNumberFormat="1" applyFont="1" applyFill="1" applyAlignment="1">
      <alignment horizontal="right" vertical="center"/>
    </xf>
    <xf numFmtId="166" fontId="8" fillId="2" borderId="0" xfId="5" applyNumberFormat="1" applyFont="1" applyFill="1" applyAlignment="1">
      <alignment horizontal="right" vertical="center"/>
    </xf>
    <xf numFmtId="164" fontId="9" fillId="2" borderId="0" xfId="4" applyNumberFormat="1" applyFont="1" applyFill="1" applyAlignment="1">
      <alignment vertical="center"/>
    </xf>
    <xf numFmtId="164" fontId="8" fillId="2" borderId="0" xfId="4" applyNumberFormat="1" applyFont="1" applyFill="1" applyAlignment="1">
      <alignment vertical="center"/>
    </xf>
    <xf numFmtId="164" fontId="8" fillId="2" borderId="1" xfId="4" applyNumberFormat="1" applyFont="1" applyFill="1" applyBorder="1" applyAlignment="1">
      <alignment vertical="center"/>
    </xf>
    <xf numFmtId="164" fontId="8" fillId="2" borderId="3" xfId="4" applyNumberFormat="1" applyFont="1" applyFill="1" applyBorder="1" applyAlignment="1">
      <alignment vertical="center"/>
    </xf>
    <xf numFmtId="164" fontId="9" fillId="2" borderId="10" xfId="4" applyNumberFormat="1" applyFont="1" applyFill="1" applyBorder="1" applyAlignment="1">
      <alignment vertical="center"/>
    </xf>
    <xf numFmtId="164" fontId="9" fillId="2" borderId="9" xfId="4" applyNumberFormat="1" applyFont="1" applyFill="1" applyBorder="1" applyAlignment="1">
      <alignment horizontal="right" vertical="center"/>
    </xf>
    <xf numFmtId="164" fontId="9" fillId="2" borderId="9" xfId="4" applyNumberFormat="1" applyFont="1" applyFill="1" applyBorder="1" applyAlignment="1">
      <alignment vertical="center"/>
    </xf>
    <xf numFmtId="164" fontId="9" fillId="2" borderId="3" xfId="4" applyNumberFormat="1" applyFont="1" applyFill="1" applyBorder="1" applyAlignment="1">
      <alignment vertical="center"/>
    </xf>
    <xf numFmtId="164" fontId="9" fillId="2" borderId="1" xfId="4" applyNumberFormat="1" applyFont="1" applyFill="1" applyBorder="1" applyAlignment="1">
      <alignment vertical="center"/>
    </xf>
    <xf numFmtId="164" fontId="8" fillId="2" borderId="0" xfId="9" applyNumberFormat="1" applyFont="1" applyFill="1" applyBorder="1" applyAlignment="1">
      <alignment vertical="center"/>
    </xf>
    <xf numFmtId="0" fontId="10" fillId="0" borderId="0" xfId="6" applyFont="1" applyAlignment="1">
      <alignment horizontal="right" vertical="center" wrapText="1"/>
    </xf>
    <xf numFmtId="164" fontId="8" fillId="0" borderId="0" xfId="5" applyNumberFormat="1" applyFont="1" applyAlignment="1">
      <alignment horizontal="right" vertical="center"/>
    </xf>
    <xf numFmtId="0" fontId="10" fillId="0" borderId="0" xfId="5" applyFont="1" applyAlignment="1">
      <alignment horizontal="right" vertical="center"/>
    </xf>
    <xf numFmtId="166" fontId="8" fillId="0" borderId="0" xfId="5" applyNumberFormat="1" applyFont="1" applyAlignment="1">
      <alignment horizontal="right" vertical="center"/>
    </xf>
    <xf numFmtId="0" fontId="10" fillId="0" borderId="0" xfId="4" applyFont="1" applyAlignment="1">
      <alignment horizontal="right" vertical="center"/>
    </xf>
    <xf numFmtId="0" fontId="5" fillId="0" borderId="0" xfId="10" applyFont="1" applyAlignment="1">
      <alignment vertical="center"/>
    </xf>
    <xf numFmtId="0" fontId="34" fillId="0" borderId="0" xfId="10" applyFont="1" applyAlignment="1">
      <alignment horizontal="right" vertical="center"/>
    </xf>
    <xf numFmtId="0" fontId="5" fillId="0" borderId="0" xfId="10" applyFont="1" applyAlignment="1">
      <alignment horizontal="right" vertical="center"/>
    </xf>
    <xf numFmtId="164" fontId="5" fillId="0" borderId="0" xfId="10" applyNumberFormat="1" applyFont="1" applyAlignment="1">
      <alignment vertical="center"/>
    </xf>
    <xf numFmtId="0" fontId="34" fillId="0" borderId="1" xfId="10" applyFont="1" applyBorder="1" applyAlignment="1">
      <alignment vertical="center"/>
    </xf>
    <xf numFmtId="0" fontId="5" fillId="0" borderId="1" xfId="10" applyFont="1" applyBorder="1" applyAlignment="1">
      <alignment vertical="center"/>
    </xf>
    <xf numFmtId="0" fontId="5" fillId="0" borderId="1" xfId="10" applyFont="1" applyBorder="1" applyAlignment="1">
      <alignment horizontal="right" vertical="center"/>
    </xf>
    <xf numFmtId="169" fontId="5" fillId="0" borderId="0" xfId="10" applyNumberFormat="1" applyFont="1" applyAlignment="1">
      <alignment horizontal="right" vertical="center"/>
    </xf>
    <xf numFmtId="0" fontId="35" fillId="0" borderId="0" xfId="10" applyFont="1" applyAlignment="1">
      <alignment vertical="center"/>
    </xf>
    <xf numFmtId="0" fontId="5" fillId="0" borderId="0" xfId="10" applyFont="1" applyAlignment="1">
      <alignment horizontal="left" vertical="center"/>
    </xf>
    <xf numFmtId="170" fontId="5" fillId="0" borderId="0" xfId="10" applyNumberFormat="1" applyFont="1" applyAlignment="1">
      <alignment vertical="center"/>
    </xf>
    <xf numFmtId="0" fontId="36" fillId="0" borderId="0" xfId="10" applyFont="1" applyAlignment="1">
      <alignment vertical="center"/>
    </xf>
    <xf numFmtId="2" fontId="18" fillId="0" borderId="0" xfId="10" applyNumberFormat="1" applyFont="1" applyAlignment="1">
      <alignment vertical="center"/>
    </xf>
    <xf numFmtId="2" fontId="5" fillId="0" borderId="0" xfId="10" applyNumberFormat="1" applyFont="1" applyAlignment="1">
      <alignment horizontal="right" vertical="center"/>
    </xf>
    <xf numFmtId="170" fontId="18" fillId="0" borderId="0" xfId="10" applyNumberFormat="1" applyFont="1" applyAlignment="1">
      <alignment vertical="center"/>
    </xf>
    <xf numFmtId="10" fontId="5" fillId="3" borderId="0" xfId="7" applyNumberFormat="1" applyFont="1" applyFill="1" applyAlignment="1">
      <alignment vertical="center"/>
    </xf>
    <xf numFmtId="0" fontId="5" fillId="0" borderId="1" xfId="10" applyFont="1" applyBorder="1" applyAlignment="1">
      <alignment horizontal="left" vertical="center"/>
    </xf>
    <xf numFmtId="10" fontId="5" fillId="3" borderId="1" xfId="7" applyNumberFormat="1" applyFont="1" applyFill="1" applyBorder="1" applyAlignment="1">
      <alignment vertical="center"/>
    </xf>
    <xf numFmtId="10" fontId="5" fillId="2" borderId="0" xfId="7" applyNumberFormat="1" applyFont="1" applyFill="1" applyAlignment="1">
      <alignment vertical="center"/>
    </xf>
    <xf numFmtId="10" fontId="5" fillId="2" borderId="1" xfId="7" applyNumberFormat="1" applyFont="1" applyFill="1" applyBorder="1" applyAlignment="1">
      <alignment vertical="center"/>
    </xf>
    <xf numFmtId="0" fontId="37" fillId="0" borderId="0" xfId="10" applyFont="1" applyAlignment="1">
      <alignment horizontal="right" vertical="center"/>
    </xf>
    <xf numFmtId="10" fontId="5" fillId="2" borderId="0" xfId="10" applyNumberFormat="1" applyFont="1" applyFill="1" applyAlignment="1">
      <alignment vertical="center"/>
    </xf>
    <xf numFmtId="164" fontId="5" fillId="2" borderId="0" xfId="10" applyNumberFormat="1" applyFont="1" applyFill="1" applyAlignment="1">
      <alignment vertical="center"/>
    </xf>
    <xf numFmtId="0" fontId="5" fillId="2" borderId="0" xfId="10" applyFont="1" applyFill="1" applyAlignment="1">
      <alignment vertical="center"/>
    </xf>
    <xf numFmtId="2" fontId="18" fillId="2" borderId="0" xfId="10" applyNumberFormat="1" applyFont="1" applyFill="1" applyAlignment="1">
      <alignment horizontal="right" vertical="center"/>
    </xf>
    <xf numFmtId="2" fontId="5" fillId="2" borderId="3" xfId="10" applyNumberFormat="1" applyFont="1" applyFill="1" applyBorder="1" applyAlignment="1">
      <alignment horizontal="right" vertical="center"/>
    </xf>
    <xf numFmtId="2" fontId="18" fillId="2" borderId="0" xfId="10" applyNumberFormat="1" applyFont="1" applyFill="1" applyAlignment="1">
      <alignment vertical="center"/>
    </xf>
    <xf numFmtId="2" fontId="5" fillId="2" borderId="3" xfId="10" applyNumberFormat="1" applyFont="1" applyFill="1" applyBorder="1" applyAlignment="1">
      <alignment vertical="center"/>
    </xf>
    <xf numFmtId="10" fontId="5" fillId="2" borderId="0" xfId="1" applyNumberFormat="1" applyFont="1" applyFill="1" applyAlignment="1">
      <alignment vertical="center"/>
    </xf>
    <xf numFmtId="9" fontId="5" fillId="2" borderId="0" xfId="10" applyNumberFormat="1" applyFont="1" applyFill="1" applyAlignment="1">
      <alignment vertical="center"/>
    </xf>
    <xf numFmtId="164" fontId="9" fillId="2" borderId="7" xfId="4" applyNumberFormat="1" applyFont="1" applyFill="1" applyBorder="1" applyAlignment="1">
      <alignment horizontal="right" vertical="center"/>
    </xf>
    <xf numFmtId="0" fontId="38" fillId="0" borderId="4" xfId="6" applyFont="1" applyBorder="1" applyAlignment="1">
      <alignment horizontal="right" vertical="center" wrapText="1"/>
    </xf>
    <xf numFmtId="0" fontId="39" fillId="0" borderId="11" xfId="6" applyFont="1" applyBorder="1" applyAlignment="1">
      <alignment vertical="center"/>
    </xf>
    <xf numFmtId="0" fontId="39" fillId="0" borderId="12" xfId="6" applyFont="1" applyBorder="1" applyAlignment="1">
      <alignment vertical="center"/>
    </xf>
    <xf numFmtId="164" fontId="9" fillId="2" borderId="0" xfId="3" applyNumberFormat="1" applyFont="1" applyFill="1" applyBorder="1" applyAlignment="1">
      <alignment vertical="center"/>
    </xf>
    <xf numFmtId="164" fontId="9" fillId="2" borderId="0" xfId="3" applyNumberFormat="1" applyFont="1" applyFill="1" applyBorder="1" applyAlignment="1">
      <alignment horizontal="right" vertical="center" wrapText="1"/>
    </xf>
    <xf numFmtId="164" fontId="18" fillId="2" borderId="0" xfId="10" applyNumberFormat="1" applyFont="1" applyFill="1" applyAlignment="1">
      <alignment vertical="center"/>
    </xf>
    <xf numFmtId="164" fontId="5" fillId="3" borderId="0" xfId="10" applyNumberFormat="1" applyFont="1" applyFill="1" applyAlignment="1">
      <alignment vertical="center"/>
    </xf>
    <xf numFmtId="0" fontId="34" fillId="0" borderId="0" xfId="10" applyFont="1" applyAlignment="1">
      <alignment horizontal="left" vertical="center"/>
    </xf>
    <xf numFmtId="0" fontId="9" fillId="0" borderId="3" xfId="3" applyNumberFormat="1" applyFont="1" applyFill="1" applyBorder="1" applyAlignment="1">
      <alignment horizontal="right" vertical="center" wrapText="1"/>
    </xf>
    <xf numFmtId="0" fontId="9" fillId="0" borderId="3" xfId="3" applyNumberFormat="1" applyFont="1" applyFill="1" applyBorder="1" applyAlignment="1">
      <alignment horizontal="right" vertical="center"/>
    </xf>
    <xf numFmtId="2" fontId="5" fillId="0" borderId="0" xfId="10" applyNumberFormat="1" applyFont="1" applyAlignment="1">
      <alignment vertical="center"/>
    </xf>
    <xf numFmtId="10" fontId="5" fillId="2" borderId="1" xfId="10" applyNumberFormat="1" applyFont="1" applyFill="1" applyBorder="1" applyAlignment="1">
      <alignment vertical="center"/>
    </xf>
    <xf numFmtId="0" fontId="52" fillId="0" borderId="0" xfId="10" applyFont="1" applyAlignment="1">
      <alignment horizontal="left" vertical="center"/>
    </xf>
    <xf numFmtId="0" fontId="9" fillId="0" borderId="1" xfId="6" applyFont="1" applyBorder="1" applyAlignment="1">
      <alignment horizontal="right" vertical="center"/>
    </xf>
    <xf numFmtId="166" fontId="9" fillId="0" borderId="1" xfId="6" applyNumberFormat="1" applyFont="1" applyBorder="1" applyAlignment="1">
      <alignment horizontal="right" vertical="center"/>
    </xf>
    <xf numFmtId="164" fontId="8" fillId="2" borderId="0" xfId="6" applyNumberFormat="1" applyFont="1" applyFill="1" applyAlignment="1">
      <alignment vertical="center"/>
    </xf>
    <xf numFmtId="164" fontId="8" fillId="2" borderId="1" xfId="6" applyNumberFormat="1" applyFont="1" applyFill="1" applyBorder="1" applyAlignment="1">
      <alignment vertical="center"/>
    </xf>
    <xf numFmtId="166" fontId="5" fillId="2" borderId="1" xfId="11" applyNumberFormat="1" applyFont="1" applyFill="1" applyBorder="1" applyAlignment="1">
      <alignment vertical="center"/>
    </xf>
    <xf numFmtId="10" fontId="5" fillId="0" borderId="0" xfId="10" applyNumberFormat="1" applyFont="1" applyAlignment="1">
      <alignment horizontal="right" vertical="center"/>
    </xf>
    <xf numFmtId="0" fontId="5" fillId="2" borderId="0" xfId="10" applyFont="1" applyFill="1" applyAlignment="1">
      <alignment horizontal="right" vertical="center"/>
    </xf>
    <xf numFmtId="10" fontId="5" fillId="2" borderId="0" xfId="12" applyNumberFormat="1" applyFont="1" applyFill="1" applyAlignment="1">
      <alignment horizontal="right" vertical="center"/>
    </xf>
    <xf numFmtId="10" fontId="5" fillId="2" borderId="0" xfId="10" applyNumberFormat="1" applyFont="1" applyFill="1" applyAlignment="1">
      <alignment horizontal="right" vertical="center"/>
    </xf>
    <xf numFmtId="169" fontId="5" fillId="2" borderId="0" xfId="10" applyNumberFormat="1" applyFont="1" applyFill="1" applyAlignment="1">
      <alignment horizontal="right" vertical="center"/>
    </xf>
    <xf numFmtId="169" fontId="5" fillId="2" borderId="3" xfId="10" applyNumberFormat="1" applyFont="1" applyFill="1" applyBorder="1" applyAlignment="1">
      <alignment horizontal="right" vertical="center"/>
    </xf>
    <xf numFmtId="169" fontId="34" fillId="2" borderId="1" xfId="10" applyNumberFormat="1" applyFont="1" applyFill="1" applyBorder="1" applyAlignment="1">
      <alignment horizontal="right" vertical="center"/>
    </xf>
    <xf numFmtId="169" fontId="34" fillId="2" borderId="4" xfId="10" applyNumberFormat="1" applyFont="1" applyFill="1" applyBorder="1" applyAlignment="1">
      <alignment horizontal="right" vertical="center"/>
    </xf>
    <xf numFmtId="164" fontId="34" fillId="2" borderId="6" xfId="10" applyNumberFormat="1" applyFont="1" applyFill="1" applyBorder="1" applyAlignment="1">
      <alignment vertical="center"/>
    </xf>
    <xf numFmtId="164" fontId="34" fillId="2" borderId="1" xfId="10" applyNumberFormat="1" applyFont="1" applyFill="1" applyBorder="1" applyAlignment="1">
      <alignment vertical="center"/>
    </xf>
    <xf numFmtId="2" fontId="8" fillId="2" borderId="0" xfId="6" applyNumberFormat="1" applyFont="1" applyFill="1" applyAlignment="1">
      <alignment vertical="center"/>
    </xf>
    <xf numFmtId="2" fontId="8" fillId="0" borderId="0" xfId="6" applyNumberFormat="1" applyFont="1" applyAlignment="1">
      <alignment vertical="center"/>
    </xf>
    <xf numFmtId="0" fontId="38" fillId="0" borderId="6" xfId="6" applyFont="1" applyBorder="1" applyAlignment="1">
      <alignment horizontal="right" vertical="center" wrapText="1"/>
    </xf>
    <xf numFmtId="164" fontId="8" fillId="0" borderId="0" xfId="3" applyNumberFormat="1" applyFont="1" applyFill="1" applyAlignment="1">
      <alignment vertical="center"/>
    </xf>
    <xf numFmtId="164" fontId="9" fillId="2" borderId="1" xfId="6" applyNumberFormat="1" applyFont="1" applyFill="1" applyBorder="1" applyAlignment="1">
      <alignment vertical="center"/>
    </xf>
    <xf numFmtId="164" fontId="9" fillId="2" borderId="0" xfId="9" applyNumberFormat="1" applyFont="1" applyFill="1" applyBorder="1" applyAlignment="1">
      <alignment vertical="center"/>
    </xf>
    <xf numFmtId="166" fontId="8" fillId="2" borderId="13" xfId="3" applyNumberFormat="1" applyFont="1" applyFill="1" applyBorder="1" applyAlignment="1">
      <alignment vertical="center"/>
    </xf>
    <xf numFmtId="10" fontId="5" fillId="2" borderId="1" xfId="1" applyNumberFormat="1" applyFont="1" applyFill="1" applyBorder="1" applyAlignment="1">
      <alignment vertical="center"/>
    </xf>
    <xf numFmtId="164" fontId="8" fillId="2" borderId="0" xfId="3" applyNumberFormat="1" applyFont="1" applyFill="1" applyAlignment="1">
      <alignment vertical="center"/>
    </xf>
    <xf numFmtId="10" fontId="8" fillId="2" borderId="0" xfId="7" applyNumberFormat="1" applyFont="1" applyFill="1" applyAlignment="1">
      <alignment vertical="center"/>
    </xf>
    <xf numFmtId="0" fontId="8" fillId="2" borderId="0" xfId="6" applyFont="1" applyFill="1" applyAlignment="1">
      <alignment vertical="center"/>
    </xf>
    <xf numFmtId="10" fontId="8" fillId="2" borderId="1" xfId="7" applyNumberFormat="1" applyFont="1" applyFill="1" applyBorder="1" applyAlignment="1">
      <alignment vertical="center"/>
    </xf>
    <xf numFmtId="0" fontId="9" fillId="0" borderId="0" xfId="3" applyNumberFormat="1" applyFont="1" applyFill="1" applyBorder="1" applyAlignment="1">
      <alignment horizontal="right" vertical="center"/>
    </xf>
    <xf numFmtId="0" fontId="8" fillId="2" borderId="0" xfId="6" applyFont="1" applyFill="1" applyAlignment="1">
      <alignment horizontal="right" vertical="center"/>
    </xf>
    <xf numFmtId="0" fontId="8" fillId="2" borderId="1" xfId="6" applyFont="1" applyFill="1" applyBorder="1" applyAlignment="1">
      <alignment horizontal="right" vertical="center"/>
    </xf>
    <xf numFmtId="0" fontId="9" fillId="0" borderId="12" xfId="6" applyFont="1" applyBorder="1" applyAlignment="1">
      <alignment vertical="center"/>
    </xf>
    <xf numFmtId="0" fontId="9" fillId="0" borderId="3" xfId="6" applyFont="1" applyBorder="1" applyAlignment="1">
      <alignment vertical="center"/>
    </xf>
    <xf numFmtId="0" fontId="9" fillId="0" borderId="4" xfId="6" applyFont="1" applyBorder="1" applyAlignment="1">
      <alignment vertical="center"/>
    </xf>
    <xf numFmtId="164" fontId="9" fillId="2" borderId="3" xfId="3" applyNumberFormat="1" applyFont="1" applyFill="1" applyBorder="1" applyAlignment="1">
      <alignment horizontal="right" vertical="center" wrapText="1"/>
    </xf>
    <xf numFmtId="164" fontId="8" fillId="2" borderId="3" xfId="3" applyNumberFormat="1" applyFont="1" applyFill="1" applyBorder="1" applyAlignment="1">
      <alignment vertical="center"/>
    </xf>
    <xf numFmtId="164" fontId="8" fillId="2" borderId="4" xfId="3" applyNumberFormat="1" applyFont="1" applyFill="1" applyBorder="1" applyAlignment="1">
      <alignment vertical="center"/>
    </xf>
    <xf numFmtId="164" fontId="8" fillId="2" borderId="3" xfId="9" applyNumberFormat="1" applyFont="1" applyFill="1" applyBorder="1" applyAlignment="1">
      <alignment vertical="center"/>
    </xf>
    <xf numFmtId="164" fontId="8" fillId="2" borderId="4" xfId="9" applyNumberFormat="1" applyFont="1" applyFill="1" applyBorder="1" applyAlignment="1">
      <alignment vertical="center"/>
    </xf>
    <xf numFmtId="164" fontId="9" fillId="2" borderId="3" xfId="9" applyNumberFormat="1" applyFont="1" applyFill="1" applyBorder="1" applyAlignment="1">
      <alignment vertical="center"/>
    </xf>
    <xf numFmtId="164" fontId="8" fillId="2" borderId="3" xfId="6" applyNumberFormat="1" applyFont="1" applyFill="1" applyBorder="1" applyAlignment="1">
      <alignment vertical="center"/>
    </xf>
    <xf numFmtId="164" fontId="8" fillId="2" borderId="4" xfId="6" applyNumberFormat="1" applyFont="1" applyFill="1" applyBorder="1" applyAlignment="1">
      <alignment vertical="center"/>
    </xf>
    <xf numFmtId="0" fontId="8" fillId="2" borderId="3" xfId="6" applyFont="1" applyFill="1" applyBorder="1" applyAlignment="1">
      <alignment vertical="center"/>
    </xf>
    <xf numFmtId="0" fontId="8" fillId="2" borderId="4" xfId="6" applyFont="1" applyFill="1" applyBorder="1" applyAlignment="1">
      <alignment vertical="center"/>
    </xf>
    <xf numFmtId="164" fontId="8" fillId="2" borderId="3" xfId="3" applyNumberFormat="1" applyFont="1" applyFill="1" applyBorder="1" applyAlignment="1">
      <alignment horizontal="right" vertical="center"/>
    </xf>
    <xf numFmtId="164" fontId="9" fillId="2" borderId="4" xfId="6" applyNumberFormat="1" applyFont="1" applyFill="1" applyBorder="1" applyAlignment="1">
      <alignment vertical="center"/>
    </xf>
    <xf numFmtId="10" fontId="8" fillId="2" borderId="3" xfId="7" applyNumberFormat="1" applyFont="1" applyFill="1" applyBorder="1" applyAlignment="1">
      <alignment vertical="center"/>
    </xf>
    <xf numFmtId="10" fontId="8" fillId="2" borderId="4" xfId="7" applyNumberFormat="1" applyFont="1" applyFill="1" applyBorder="1" applyAlignment="1">
      <alignment vertical="center"/>
    </xf>
    <xf numFmtId="0" fontId="32" fillId="2" borderId="0" xfId="10" applyFont="1" applyFill="1" applyAlignment="1">
      <alignment vertical="center"/>
    </xf>
    <xf numFmtId="0" fontId="3" fillId="0" borderId="0" xfId="4"/>
    <xf numFmtId="10" fontId="8" fillId="0" borderId="0" xfId="4" applyNumberFormat="1" applyFont="1" applyAlignment="1">
      <alignment vertical="center"/>
    </xf>
    <xf numFmtId="0" fontId="27" fillId="0" borderId="1" xfId="4" applyFont="1" applyBorder="1" applyAlignment="1">
      <alignment vertical="center"/>
    </xf>
    <xf numFmtId="0" fontId="56" fillId="0" borderId="0" xfId="4" applyFont="1" applyAlignment="1">
      <alignment vertical="center"/>
    </xf>
    <xf numFmtId="0" fontId="27" fillId="0" borderId="0" xfId="4" applyFont="1" applyAlignment="1">
      <alignment vertical="center"/>
    </xf>
    <xf numFmtId="164" fontId="9" fillId="2" borderId="10" xfId="4" applyNumberFormat="1" applyFont="1" applyFill="1" applyBorder="1" applyAlignment="1">
      <alignment horizontal="right" vertical="center"/>
    </xf>
    <xf numFmtId="164" fontId="9" fillId="2" borderId="4" xfId="4" applyNumberFormat="1" applyFont="1" applyFill="1" applyBorder="1" applyAlignment="1">
      <alignment vertical="center"/>
    </xf>
    <xf numFmtId="0" fontId="9" fillId="0" borderId="12" xfId="4" applyFont="1" applyBorder="1" applyAlignment="1">
      <alignment vertical="center"/>
    </xf>
    <xf numFmtId="164" fontId="9" fillId="2" borderId="16" xfId="4" applyNumberFormat="1" applyFont="1" applyFill="1" applyBorder="1" applyAlignment="1">
      <alignment horizontal="right" vertical="center"/>
    </xf>
    <xf numFmtId="164" fontId="9" fillId="2" borderId="3" xfId="4" applyNumberFormat="1" applyFont="1" applyFill="1" applyBorder="1" applyAlignment="1">
      <alignment horizontal="right" vertical="center"/>
    </xf>
    <xf numFmtId="164" fontId="9" fillId="2" borderId="4" xfId="4" applyNumberFormat="1" applyFont="1" applyFill="1" applyBorder="1" applyAlignment="1">
      <alignment horizontal="right" vertical="center"/>
    </xf>
    <xf numFmtId="164" fontId="9" fillId="2" borderId="12" xfId="4" applyNumberFormat="1" applyFont="1" applyFill="1" applyBorder="1" applyAlignment="1">
      <alignment horizontal="right" vertical="center"/>
    </xf>
    <xf numFmtId="0" fontId="57" fillId="0" borderId="3" xfId="0" applyFont="1" applyBorder="1" applyAlignment="1">
      <alignment vertical="center"/>
    </xf>
    <xf numFmtId="0" fontId="57" fillId="0" borderId="4" xfId="0" applyFont="1" applyBorder="1" applyAlignment="1">
      <alignment vertical="center"/>
    </xf>
    <xf numFmtId="0" fontId="8" fillId="0" borderId="3" xfId="4" applyFont="1" applyBorder="1" applyAlignment="1">
      <alignment vertical="center"/>
    </xf>
    <xf numFmtId="10" fontId="8" fillId="0" borderId="0" xfId="6" applyNumberFormat="1" applyFont="1" applyAlignment="1">
      <alignment vertical="center"/>
    </xf>
    <xf numFmtId="10" fontId="27" fillId="2" borderId="1" xfId="8" applyNumberFormat="1" applyFont="1" applyFill="1" applyBorder="1" applyAlignment="1">
      <alignment vertical="center"/>
    </xf>
    <xf numFmtId="10" fontId="27" fillId="2" borderId="4" xfId="8" applyNumberFormat="1" applyFont="1" applyFill="1" applyBorder="1" applyAlignment="1">
      <alignment vertical="center"/>
    </xf>
    <xf numFmtId="10" fontId="27" fillId="0" borderId="0" xfId="8" applyNumberFormat="1" applyFont="1" applyFill="1" applyBorder="1" applyAlignment="1">
      <alignment vertical="center"/>
    </xf>
    <xf numFmtId="2" fontId="8" fillId="2" borderId="6" xfId="6" applyNumberFormat="1" applyFont="1" applyFill="1" applyBorder="1" applyAlignment="1">
      <alignment vertical="center"/>
    </xf>
    <xf numFmtId="10" fontId="8" fillId="2" borderId="0" xfId="6" applyNumberFormat="1" applyFont="1" applyFill="1" applyAlignment="1">
      <alignment vertical="center"/>
    </xf>
    <xf numFmtId="10" fontId="8" fillId="2" borderId="1" xfId="6" applyNumberFormat="1" applyFont="1" applyFill="1" applyBorder="1" applyAlignment="1">
      <alignment vertical="center"/>
    </xf>
    <xf numFmtId="10" fontId="8" fillId="0" borderId="12" xfId="6" applyNumberFormat="1" applyFont="1" applyBorder="1" applyAlignment="1">
      <alignment vertical="center"/>
    </xf>
    <xf numFmtId="10" fontId="27" fillId="0" borderId="3" xfId="8" applyNumberFormat="1" applyFont="1" applyFill="1" applyBorder="1" applyAlignment="1">
      <alignment vertical="center"/>
    </xf>
    <xf numFmtId="0" fontId="38" fillId="0" borderId="1" xfId="6" applyFont="1" applyBorder="1" applyAlignment="1">
      <alignment horizontal="right" vertical="center" wrapText="1"/>
    </xf>
    <xf numFmtId="14" fontId="0" fillId="0" borderId="0" xfId="0" applyNumberFormat="1"/>
    <xf numFmtId="14" fontId="0" fillId="0" borderId="4" xfId="0" applyNumberFormat="1" applyBorder="1"/>
    <xf numFmtId="164" fontId="8" fillId="0" borderId="13" xfId="3" applyNumberFormat="1" applyFont="1" applyBorder="1" applyAlignment="1">
      <alignment vertical="center"/>
    </xf>
    <xf numFmtId="164" fontId="8" fillId="0" borderId="6" xfId="3" applyNumberFormat="1" applyFont="1" applyBorder="1" applyAlignment="1">
      <alignment vertical="center"/>
    </xf>
    <xf numFmtId="164" fontId="8" fillId="0" borderId="0" xfId="6" applyNumberFormat="1" applyFont="1" applyAlignment="1">
      <alignment vertical="center"/>
    </xf>
    <xf numFmtId="2" fontId="8" fillId="2" borderId="3" xfId="9" applyNumberFormat="1" applyFont="1" applyFill="1" applyBorder="1" applyAlignment="1">
      <alignment vertical="center"/>
    </xf>
    <xf numFmtId="164" fontId="8" fillId="2" borderId="13" xfId="3" applyNumberFormat="1" applyFont="1" applyFill="1" applyBorder="1" applyAlignment="1">
      <alignment vertical="center"/>
    </xf>
    <xf numFmtId="0" fontId="0" fillId="0" borderId="14" xfId="0" applyBorder="1"/>
    <xf numFmtId="0" fontId="53" fillId="0" borderId="15" xfId="0" applyFont="1" applyBorder="1" applyAlignment="1">
      <alignment horizontal="center"/>
    </xf>
    <xf numFmtId="0" fontId="53" fillId="0" borderId="15" xfId="0" applyFont="1" applyBorder="1" applyAlignment="1">
      <alignment horizontal="centerContinuous"/>
    </xf>
    <xf numFmtId="0" fontId="1" fillId="0" borderId="0" xfId="15"/>
    <xf numFmtId="10" fontId="1" fillId="0" borderId="0" xfId="15" applyNumberFormat="1"/>
    <xf numFmtId="0" fontId="8" fillId="2" borderId="0" xfId="10" applyFont="1" applyFill="1" applyAlignment="1">
      <alignment horizontal="right" vertical="center"/>
    </xf>
    <xf numFmtId="10" fontId="8" fillId="2" borderId="0" xfId="12" applyNumberFormat="1" applyFont="1" applyFill="1" applyAlignment="1">
      <alignment horizontal="right" vertical="center"/>
    </xf>
    <xf numFmtId="0" fontId="9" fillId="0" borderId="0" xfId="10" applyFont="1" applyAlignment="1">
      <alignment vertical="center"/>
    </xf>
    <xf numFmtId="0" fontId="8" fillId="0" borderId="0" xfId="10" applyFont="1" applyAlignment="1">
      <alignment vertical="center"/>
    </xf>
    <xf numFmtId="8" fontId="9" fillId="0" borderId="0" xfId="13" applyNumberFormat="1" applyFont="1" applyFill="1" applyBorder="1" applyAlignment="1">
      <alignment horizontal="right" vertical="center"/>
    </xf>
    <xf numFmtId="170" fontId="9" fillId="0" borderId="0" xfId="4" applyNumberFormat="1" applyFont="1" applyAlignment="1">
      <alignment vertical="center"/>
    </xf>
    <xf numFmtId="10" fontId="8" fillId="0" borderId="0" xfId="14" applyNumberFormat="1" applyFont="1" applyFill="1" applyAlignment="1">
      <alignment vertical="center"/>
    </xf>
    <xf numFmtId="166" fontId="27" fillId="0" borderId="1" xfId="13" applyNumberFormat="1" applyFont="1" applyFill="1" applyBorder="1" applyAlignment="1">
      <alignment vertical="center"/>
    </xf>
    <xf numFmtId="171" fontId="9" fillId="0" borderId="0" xfId="14" applyNumberFormat="1" applyFont="1" applyFill="1" applyAlignment="1">
      <alignment vertical="center"/>
    </xf>
    <xf numFmtId="166" fontId="56" fillId="0" borderId="0" xfId="13" applyNumberFormat="1" applyFont="1" applyFill="1" applyBorder="1" applyAlignment="1">
      <alignment vertical="center"/>
    </xf>
    <xf numFmtId="0" fontId="8" fillId="0" borderId="17" xfId="4" applyFont="1" applyBorder="1" applyAlignment="1">
      <alignment vertical="center"/>
    </xf>
    <xf numFmtId="0" fontId="8" fillId="0" borderId="18" xfId="4" applyFont="1" applyBorder="1" applyAlignment="1">
      <alignment vertical="center"/>
    </xf>
    <xf numFmtId="0" fontId="8" fillId="0" borderId="19" xfId="4" applyFont="1" applyBorder="1" applyAlignment="1">
      <alignment vertical="center"/>
    </xf>
    <xf numFmtId="0" fontId="8" fillId="0" borderId="20" xfId="4" applyFont="1" applyBorder="1" applyAlignment="1">
      <alignment vertical="center"/>
    </xf>
    <xf numFmtId="0" fontId="8" fillId="0" borderId="21" xfId="4" applyFont="1" applyBorder="1" applyAlignment="1">
      <alignment vertical="center"/>
    </xf>
    <xf numFmtId="0" fontId="8" fillId="0" borderId="22" xfId="4" applyFont="1" applyBorder="1" applyAlignment="1">
      <alignment vertical="center"/>
    </xf>
    <xf numFmtId="0" fontId="8" fillId="0" borderId="23" xfId="4" applyFont="1" applyBorder="1" applyAlignment="1">
      <alignment vertical="center"/>
    </xf>
    <xf numFmtId="0" fontId="8" fillId="0" borderId="24" xfId="4" applyFont="1" applyBorder="1" applyAlignment="1">
      <alignment vertical="center"/>
    </xf>
    <xf numFmtId="0" fontId="5" fillId="0" borderId="25" xfId="10" applyFont="1" applyBorder="1" applyAlignment="1">
      <alignment vertical="center"/>
    </xf>
    <xf numFmtId="0" fontId="5" fillId="0" borderId="26" xfId="10" applyFont="1" applyBorder="1" applyAlignment="1">
      <alignment vertical="center"/>
    </xf>
    <xf numFmtId="0" fontId="5" fillId="0" borderId="27" xfId="10" applyFont="1" applyBorder="1" applyAlignment="1">
      <alignment vertical="center"/>
    </xf>
    <xf numFmtId="0" fontId="8" fillId="0" borderId="17" xfId="6" applyFont="1" applyBorder="1" applyAlignment="1">
      <alignment vertical="center"/>
    </xf>
    <xf numFmtId="0" fontId="8" fillId="0" borderId="18" xfId="6" applyFont="1" applyBorder="1" applyAlignment="1">
      <alignment vertical="center"/>
    </xf>
    <xf numFmtId="0" fontId="8" fillId="0" borderId="19" xfId="6" applyFont="1" applyBorder="1" applyAlignment="1">
      <alignment vertical="center"/>
    </xf>
    <xf numFmtId="0" fontId="8" fillId="0" borderId="20" xfId="6" applyFont="1" applyBorder="1" applyAlignment="1">
      <alignment vertical="center"/>
    </xf>
    <xf numFmtId="0" fontId="8" fillId="0" borderId="21" xfId="6" applyFont="1" applyBorder="1" applyAlignment="1">
      <alignment vertical="center"/>
    </xf>
    <xf numFmtId="0" fontId="8" fillId="0" borderId="22" xfId="6" applyFont="1" applyBorder="1" applyAlignment="1">
      <alignment vertical="center"/>
    </xf>
    <xf numFmtId="0" fontId="8" fillId="0" borderId="23" xfId="6" applyFont="1" applyBorder="1" applyAlignment="1">
      <alignment vertical="center"/>
    </xf>
    <xf numFmtId="0" fontId="8" fillId="0" borderId="24" xfId="6" applyFont="1" applyBorder="1" applyAlignment="1">
      <alignment vertical="center"/>
    </xf>
    <xf numFmtId="0" fontId="10" fillId="4" borderId="1" xfId="10" applyFont="1" applyFill="1" applyBorder="1" applyAlignment="1">
      <alignment horizontal="left" vertical="center"/>
    </xf>
    <xf numFmtId="0" fontId="20" fillId="4" borderId="1" xfId="10" applyFont="1" applyFill="1" applyBorder="1" applyAlignment="1">
      <alignment vertical="center"/>
    </xf>
    <xf numFmtId="0" fontId="10" fillId="4" borderId="5" xfId="10" applyFont="1" applyFill="1" applyBorder="1" applyAlignment="1">
      <alignment horizontal="left" vertical="center"/>
    </xf>
    <xf numFmtId="0" fontId="20" fillId="4" borderId="5" xfId="10" applyFont="1" applyFill="1" applyBorder="1" applyAlignment="1">
      <alignment vertical="center"/>
    </xf>
    <xf numFmtId="0" fontId="9" fillId="4" borderId="1" xfId="10" applyFont="1" applyFill="1" applyBorder="1" applyAlignment="1">
      <alignment horizontal="left" vertical="center"/>
    </xf>
    <xf numFmtId="0" fontId="9" fillId="4" borderId="5" xfId="10" applyFont="1" applyFill="1" applyBorder="1" applyAlignment="1">
      <alignment horizontal="left" vertical="center"/>
    </xf>
    <xf numFmtId="0" fontId="9" fillId="4" borderId="1" xfId="10" applyFont="1" applyFill="1" applyBorder="1" applyAlignment="1">
      <alignment horizontal="right" vertical="center"/>
    </xf>
    <xf numFmtId="10" fontId="34" fillId="2" borderId="28" xfId="10" applyNumberFormat="1" applyFont="1" applyFill="1" applyBorder="1" applyAlignment="1">
      <alignment vertical="center"/>
    </xf>
    <xf numFmtId="0" fontId="34" fillId="0" borderId="17" xfId="10" applyFont="1" applyBorder="1" applyAlignment="1">
      <alignment vertical="center"/>
    </xf>
    <xf numFmtId="0" fontId="34" fillId="0" borderId="18" xfId="10" applyFont="1" applyBorder="1" applyAlignment="1">
      <alignment vertical="center"/>
    </xf>
    <xf numFmtId="0" fontId="34" fillId="0" borderId="19" xfId="10" applyFont="1" applyBorder="1" applyAlignment="1">
      <alignment vertical="center"/>
    </xf>
    <xf numFmtId="0" fontId="34" fillId="0" borderId="22" xfId="10" applyFont="1" applyBorder="1" applyAlignment="1">
      <alignment vertical="center"/>
    </xf>
    <xf numFmtId="0" fontId="34" fillId="0" borderId="23" xfId="10" applyFont="1" applyBorder="1" applyAlignment="1">
      <alignment vertical="center"/>
    </xf>
    <xf numFmtId="0" fontId="34" fillId="0" borderId="24" xfId="10" applyFont="1" applyBorder="1" applyAlignment="1">
      <alignment vertical="center"/>
    </xf>
    <xf numFmtId="0" fontId="9" fillId="4" borderId="0" xfId="10" applyFont="1" applyFill="1" applyAlignment="1">
      <alignment vertical="center"/>
    </xf>
    <xf numFmtId="0" fontId="8" fillId="4" borderId="0" xfId="10" applyFont="1" applyFill="1" applyAlignment="1">
      <alignment vertical="center"/>
    </xf>
    <xf numFmtId="0" fontId="9" fillId="4" borderId="0" xfId="10" applyFont="1" applyFill="1" applyAlignment="1">
      <alignment horizontal="right" vertical="center"/>
    </xf>
    <xf numFmtId="0" fontId="9" fillId="4" borderId="4" xfId="10" applyFont="1" applyFill="1" applyBorder="1" applyAlignment="1">
      <alignment horizontal="right" vertical="center"/>
    </xf>
    <xf numFmtId="0" fontId="8" fillId="4" borderId="3" xfId="10" applyFont="1" applyFill="1" applyBorder="1" applyAlignment="1">
      <alignment vertical="center"/>
    </xf>
    <xf numFmtId="0" fontId="13" fillId="4" borderId="1" xfId="10" applyFont="1" applyFill="1" applyBorder="1" applyAlignment="1">
      <alignment horizontal="right" vertical="center"/>
    </xf>
    <xf numFmtId="0" fontId="9" fillId="4" borderId="1" xfId="10" applyFont="1" applyFill="1" applyBorder="1" applyAlignment="1">
      <alignment vertical="center"/>
    </xf>
    <xf numFmtId="0" fontId="8" fillId="4" borderId="4" xfId="10" applyFont="1" applyFill="1" applyBorder="1" applyAlignment="1">
      <alignment vertical="center"/>
    </xf>
    <xf numFmtId="0" fontId="31" fillId="4" borderId="17" xfId="10" applyFont="1" applyFill="1" applyBorder="1" applyAlignment="1">
      <alignment vertical="center"/>
    </xf>
    <xf numFmtId="0" fontId="5" fillId="4" borderId="18" xfId="10" applyFont="1" applyFill="1" applyBorder="1" applyAlignment="1">
      <alignment vertical="center"/>
    </xf>
    <xf numFmtId="0" fontId="5" fillId="4" borderId="19" xfId="10" applyFont="1" applyFill="1" applyBorder="1" applyAlignment="1">
      <alignment vertical="center"/>
    </xf>
    <xf numFmtId="0" fontId="32" fillId="4" borderId="22" xfId="10" applyFont="1" applyFill="1" applyBorder="1" applyAlignment="1">
      <alignment vertical="center"/>
    </xf>
    <xf numFmtId="0" fontId="5" fillId="4" borderId="23" xfId="10" applyFont="1" applyFill="1" applyBorder="1" applyAlignment="1">
      <alignment vertical="center"/>
    </xf>
    <xf numFmtId="0" fontId="5" fillId="4" borderId="24" xfId="10" applyFont="1" applyFill="1" applyBorder="1" applyAlignment="1">
      <alignment vertical="center"/>
    </xf>
    <xf numFmtId="0" fontId="54" fillId="4" borderId="17" xfId="10" applyFont="1" applyFill="1" applyBorder="1" applyAlignment="1">
      <alignment vertical="center"/>
    </xf>
    <xf numFmtId="0" fontId="54" fillId="4" borderId="18" xfId="10" applyFont="1" applyFill="1" applyBorder="1" applyAlignment="1">
      <alignment vertical="center"/>
    </xf>
    <xf numFmtId="0" fontId="33" fillId="4" borderId="22" xfId="10" applyFont="1" applyFill="1" applyBorder="1" applyAlignment="1">
      <alignment vertical="center"/>
    </xf>
    <xf numFmtId="0" fontId="33" fillId="4" borderId="23" xfId="10" applyFont="1" applyFill="1" applyBorder="1" applyAlignment="1">
      <alignment vertical="center"/>
    </xf>
    <xf numFmtId="0" fontId="28" fillId="4" borderId="29" xfId="2" applyFont="1" applyFill="1" applyBorder="1" applyAlignment="1">
      <alignment vertical="center"/>
    </xf>
    <xf numFmtId="43" fontId="5" fillId="4" borderId="30" xfId="3" applyFont="1" applyFill="1" applyBorder="1" applyAlignment="1">
      <alignment vertical="center"/>
    </xf>
    <xf numFmtId="43" fontId="6" fillId="4" borderId="30" xfId="3" applyFont="1" applyFill="1" applyBorder="1" applyAlignment="1">
      <alignment vertical="center"/>
    </xf>
    <xf numFmtId="43" fontId="5" fillId="4" borderId="31" xfId="3" applyFont="1" applyFill="1" applyBorder="1" applyAlignment="1">
      <alignment vertical="center"/>
    </xf>
    <xf numFmtId="0" fontId="9" fillId="4" borderId="2" xfId="4" applyFont="1" applyFill="1" applyBorder="1" applyAlignment="1">
      <alignment horizontal="left" vertical="center" wrapText="1"/>
    </xf>
    <xf numFmtId="0" fontId="9" fillId="4" borderId="1" xfId="5" applyFont="1" applyFill="1" applyBorder="1" applyAlignment="1">
      <alignment horizontal="right" vertical="center"/>
    </xf>
    <xf numFmtId="0" fontId="9" fillId="4" borderId="4" xfId="4" applyFont="1" applyFill="1" applyBorder="1" applyAlignment="1">
      <alignment horizontal="left" vertical="center"/>
    </xf>
    <xf numFmtId="0" fontId="9" fillId="4" borderId="2" xfId="4" applyFont="1" applyFill="1" applyBorder="1" applyAlignment="1">
      <alignment horizontal="left" vertical="center"/>
    </xf>
    <xf numFmtId="0" fontId="9" fillId="4" borderId="2" xfId="4" applyFont="1" applyFill="1" applyBorder="1" applyAlignment="1">
      <alignment vertical="center" wrapText="1"/>
    </xf>
    <xf numFmtId="0" fontId="9" fillId="4" borderId="1" xfId="4" applyFont="1" applyFill="1" applyBorder="1" applyAlignment="1">
      <alignment horizontal="right" vertical="center"/>
    </xf>
    <xf numFmtId="0" fontId="9" fillId="4" borderId="8" xfId="4" applyFont="1" applyFill="1" applyBorder="1" applyAlignment="1">
      <alignment horizontal="right" vertical="center"/>
    </xf>
    <xf numFmtId="0" fontId="9" fillId="4" borderId="2" xfId="4" applyFont="1" applyFill="1" applyBorder="1" applyAlignment="1">
      <alignment horizontal="right" vertical="center"/>
    </xf>
    <xf numFmtId="0" fontId="10" fillId="5" borderId="4" xfId="5" applyFont="1" applyFill="1" applyBorder="1" applyAlignment="1">
      <alignment vertical="center"/>
    </xf>
    <xf numFmtId="164" fontId="10" fillId="5" borderId="10" xfId="4" applyNumberFormat="1" applyFont="1" applyFill="1" applyBorder="1" applyAlignment="1">
      <alignment vertical="center"/>
    </xf>
    <xf numFmtId="0" fontId="10" fillId="5" borderId="3" xfId="4" applyFont="1" applyFill="1" applyBorder="1" applyAlignment="1">
      <alignment vertical="center"/>
    </xf>
    <xf numFmtId="0" fontId="8" fillId="4" borderId="0" xfId="6" applyFont="1" applyFill="1" applyAlignment="1">
      <alignment vertical="center"/>
    </xf>
    <xf numFmtId="0" fontId="19" fillId="4" borderId="29" xfId="6" applyFont="1" applyFill="1" applyBorder="1" applyAlignment="1">
      <alignment vertical="center"/>
    </xf>
    <xf numFmtId="0" fontId="8" fillId="4" borderId="30" xfId="6" applyFont="1" applyFill="1" applyBorder="1" applyAlignment="1">
      <alignment vertical="center"/>
    </xf>
    <xf numFmtId="0" fontId="8" fillId="4" borderId="31" xfId="6" applyFont="1" applyFill="1" applyBorder="1" applyAlignment="1">
      <alignment vertical="center"/>
    </xf>
    <xf numFmtId="0" fontId="55" fillId="4" borderId="1" xfId="6" applyFont="1" applyFill="1" applyBorder="1" applyAlignment="1">
      <alignment vertical="center"/>
    </xf>
    <xf numFmtId="0" fontId="9" fillId="4" borderId="1" xfId="6" applyFont="1" applyFill="1" applyBorder="1" applyAlignment="1">
      <alignment vertical="center"/>
    </xf>
    <xf numFmtId="0" fontId="9" fillId="4" borderId="4" xfId="6" applyFont="1" applyFill="1" applyBorder="1" applyAlignment="1">
      <alignment vertical="center"/>
    </xf>
    <xf numFmtId="0" fontId="9" fillId="4" borderId="1" xfId="6" applyFont="1" applyFill="1" applyBorder="1" applyAlignment="1">
      <alignment horizontal="center" vertical="center"/>
    </xf>
    <xf numFmtId="0" fontId="9" fillId="4" borderId="2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center" vertical="center" wrapText="1"/>
    </xf>
    <xf numFmtId="0" fontId="55" fillId="4" borderId="4" xfId="6" applyFont="1" applyFill="1" applyBorder="1" applyAlignment="1">
      <alignment horizontal="right" vertical="center"/>
    </xf>
    <xf numFmtId="0" fontId="8" fillId="4" borderId="1" xfId="6" applyFont="1" applyFill="1" applyBorder="1" applyAlignment="1">
      <alignment vertical="center"/>
    </xf>
    <xf numFmtId="164" fontId="10" fillId="5" borderId="0" xfId="3" applyNumberFormat="1" applyFont="1" applyFill="1" applyBorder="1" applyAlignment="1">
      <alignment vertical="center"/>
    </xf>
    <xf numFmtId="164" fontId="10" fillId="5" borderId="3" xfId="3" applyNumberFormat="1" applyFont="1" applyFill="1" applyBorder="1" applyAlignment="1">
      <alignment vertical="center"/>
    </xf>
    <xf numFmtId="0" fontId="9" fillId="4" borderId="0" xfId="6" applyFont="1" applyFill="1" applyAlignment="1">
      <alignment vertical="center"/>
    </xf>
    <xf numFmtId="164" fontId="9" fillId="4" borderId="3" xfId="6" applyNumberFormat="1" applyFont="1" applyFill="1" applyBorder="1" applyAlignment="1">
      <alignment vertical="center"/>
    </xf>
    <xf numFmtId="164" fontId="9" fillId="4" borderId="0" xfId="6" applyNumberFormat="1" applyFont="1" applyFill="1" applyAlignment="1">
      <alignment vertical="center"/>
    </xf>
    <xf numFmtId="0" fontId="55" fillId="4" borderId="3" xfId="6" applyFont="1" applyFill="1" applyBorder="1" applyAlignment="1">
      <alignment horizontal="right" vertical="center"/>
    </xf>
    <xf numFmtId="0" fontId="55" fillId="4" borderId="0" xfId="6" applyFont="1" applyFill="1" applyAlignment="1">
      <alignment horizontal="right" vertical="center"/>
    </xf>
    <xf numFmtId="0" fontId="9" fillId="4" borderId="1" xfId="4" applyFont="1" applyFill="1" applyBorder="1" applyAlignment="1">
      <alignment vertical="center"/>
    </xf>
    <xf numFmtId="0" fontId="8" fillId="4" borderId="1" xfId="4" applyFont="1" applyFill="1" applyBorder="1" applyAlignment="1">
      <alignment vertical="center"/>
    </xf>
    <xf numFmtId="14" fontId="61" fillId="0" borderId="25" xfId="15" applyNumberFormat="1" applyFont="1" applyBorder="1" applyAlignment="1">
      <alignment horizontal="center" vertical="center"/>
    </xf>
    <xf numFmtId="14" fontId="61" fillId="0" borderId="26" xfId="15" applyNumberFormat="1" applyFont="1" applyBorder="1" applyAlignment="1">
      <alignment horizontal="center" vertical="center"/>
    </xf>
    <xf numFmtId="14" fontId="61" fillId="0" borderId="27" xfId="15" applyNumberFormat="1" applyFont="1" applyBorder="1" applyAlignment="1">
      <alignment horizontal="center" vertical="center"/>
    </xf>
    <xf numFmtId="0" fontId="61" fillId="0" borderId="25" xfId="15" applyFont="1" applyBorder="1" applyAlignment="1">
      <alignment horizontal="center"/>
    </xf>
    <xf numFmtId="0" fontId="61" fillId="0" borderId="26" xfId="15" applyFont="1" applyBorder="1" applyAlignment="1">
      <alignment horizontal="center"/>
    </xf>
    <xf numFmtId="0" fontId="61" fillId="0" borderId="27" xfId="15" applyFont="1" applyBorder="1" applyAlignment="1">
      <alignment horizontal="center"/>
    </xf>
    <xf numFmtId="10" fontId="61" fillId="0" borderId="25" xfId="15" applyNumberFormat="1" applyFont="1" applyBorder="1" applyAlignment="1">
      <alignment horizontal="center"/>
    </xf>
    <xf numFmtId="10" fontId="61" fillId="0" borderId="26" xfId="15" applyNumberFormat="1" applyFont="1" applyBorder="1" applyAlignment="1">
      <alignment horizontal="center"/>
    </xf>
    <xf numFmtId="10" fontId="61" fillId="0" borderId="27" xfId="15" applyNumberFormat="1" applyFont="1" applyBorder="1" applyAlignment="1">
      <alignment horizontal="center"/>
    </xf>
    <xf numFmtId="0" fontId="62" fillId="4" borderId="29" xfId="15" applyFont="1" applyFill="1" applyBorder="1" applyAlignment="1">
      <alignment horizontal="center"/>
    </xf>
    <xf numFmtId="0" fontId="62" fillId="4" borderId="30" xfId="15" applyFont="1" applyFill="1" applyBorder="1" applyAlignment="1">
      <alignment horizontal="center"/>
    </xf>
    <xf numFmtId="0" fontId="62" fillId="4" borderId="31" xfId="15" applyFont="1" applyFill="1" applyBorder="1" applyAlignment="1">
      <alignment horizontal="center"/>
    </xf>
    <xf numFmtId="0" fontId="55" fillId="4" borderId="29" xfId="4" applyFont="1" applyFill="1" applyBorder="1" applyAlignment="1">
      <alignment vertical="center"/>
    </xf>
    <xf numFmtId="0" fontId="8" fillId="4" borderId="30" xfId="4" applyFont="1" applyFill="1" applyBorder="1" applyAlignment="1">
      <alignment vertical="center"/>
    </xf>
    <xf numFmtId="0" fontId="8" fillId="4" borderId="31" xfId="4" applyFont="1" applyFill="1" applyBorder="1" applyAlignment="1">
      <alignment vertical="center"/>
    </xf>
    <xf numFmtId="0" fontId="5" fillId="0" borderId="0" xfId="10" quotePrefix="1" applyFont="1" applyAlignment="1">
      <alignment vertical="center"/>
    </xf>
    <xf numFmtId="0" fontId="34" fillId="4" borderId="0" xfId="10" applyFont="1" applyFill="1" applyAlignment="1">
      <alignment horizontal="right" vertical="center"/>
    </xf>
    <xf numFmtId="10" fontId="34" fillId="4" borderId="0" xfId="12" applyNumberFormat="1" applyFont="1" applyFill="1" applyAlignment="1">
      <alignment horizontal="right" vertical="center"/>
    </xf>
    <xf numFmtId="10" fontId="34" fillId="4" borderId="0" xfId="10" applyNumberFormat="1" applyFont="1" applyFill="1" applyAlignment="1">
      <alignment horizontal="right" vertical="center"/>
    </xf>
    <xf numFmtId="10" fontId="63" fillId="2" borderId="0" xfId="10" applyNumberFormat="1" applyFont="1" applyFill="1" applyAlignment="1">
      <alignment vertical="center"/>
    </xf>
    <xf numFmtId="169" fontId="34" fillId="2" borderId="0" xfId="10" applyNumberFormat="1" applyFont="1" applyFill="1" applyAlignment="1">
      <alignment horizontal="right" vertical="center"/>
    </xf>
    <xf numFmtId="169" fontId="34" fillId="2" borderId="3" xfId="10" applyNumberFormat="1" applyFont="1" applyFill="1" applyBorder="1" applyAlignment="1">
      <alignment horizontal="right" vertical="center"/>
    </xf>
    <xf numFmtId="164" fontId="34" fillId="2" borderId="0" xfId="10" applyNumberFormat="1" applyFont="1" applyFill="1" applyAlignment="1">
      <alignment vertical="center"/>
    </xf>
    <xf numFmtId="0" fontId="9" fillId="4" borderId="11" xfId="10" applyFont="1" applyFill="1" applyBorder="1" applyAlignment="1">
      <alignment horizontal="left" vertical="center"/>
    </xf>
    <xf numFmtId="0" fontId="9" fillId="4" borderId="12" xfId="10" applyFont="1" applyFill="1" applyBorder="1" applyAlignment="1">
      <alignment horizontal="left" vertical="center"/>
    </xf>
    <xf numFmtId="164" fontId="5" fillId="2" borderId="11" xfId="10" applyNumberFormat="1" applyFont="1" applyFill="1" applyBorder="1" applyAlignment="1">
      <alignment horizontal="right" vertical="center"/>
    </xf>
    <xf numFmtId="164" fontId="5" fillId="2" borderId="0" xfId="10" applyNumberFormat="1" applyFont="1" applyFill="1" applyAlignment="1">
      <alignment horizontal="right" vertical="center"/>
    </xf>
    <xf numFmtId="0" fontId="8" fillId="2" borderId="12" xfId="6" applyFont="1" applyFill="1" applyBorder="1" applyAlignment="1">
      <alignment horizontal="center" vertical="center"/>
    </xf>
    <xf numFmtId="0" fontId="8" fillId="2" borderId="3" xfId="6" applyFont="1" applyFill="1" applyBorder="1" applyAlignment="1">
      <alignment horizontal="center" vertical="center"/>
    </xf>
    <xf numFmtId="0" fontId="8" fillId="2" borderId="4" xfId="6" applyFont="1" applyFill="1" applyBorder="1" applyAlignment="1">
      <alignment horizontal="center" vertical="center"/>
    </xf>
    <xf numFmtId="0" fontId="55" fillId="4" borderId="0" xfId="6" applyFont="1" applyFill="1" applyAlignment="1">
      <alignment horizontal="center" vertical="center"/>
    </xf>
    <xf numFmtId="0" fontId="55" fillId="4" borderId="13" xfId="6" applyFont="1" applyFill="1" applyBorder="1" applyAlignment="1">
      <alignment horizontal="center" vertical="center"/>
    </xf>
    <xf numFmtId="0" fontId="55" fillId="4" borderId="3" xfId="6" applyFont="1" applyFill="1" applyBorder="1" applyAlignment="1">
      <alignment horizontal="center" vertical="center"/>
    </xf>
    <xf numFmtId="0" fontId="55" fillId="4" borderId="13" xfId="6" applyFont="1" applyFill="1" applyBorder="1" applyAlignment="1">
      <alignment horizontal="center" vertical="center" wrapText="1"/>
    </xf>
  </cellXfs>
  <cellStyles count="16">
    <cellStyle name="Comma 2" xfId="3" xr:uid="{CA4B55AE-85A8-9445-99F2-5509E4D36443}"/>
    <cellStyle name="Comma 2 2" xfId="9" xr:uid="{AEC27C95-8E87-2141-82EE-2182DC75BDEE}"/>
    <cellStyle name="Comma 2 3" xfId="11" xr:uid="{E38E7190-657B-6545-92F1-E773E59E4B26}"/>
    <cellStyle name="Comma 3" xfId="13" xr:uid="{738BA2FD-2E8B-7947-A190-1EEC010BE323}"/>
    <cellStyle name="Normal" xfId="0" builtinId="0"/>
    <cellStyle name="Normal 2" xfId="5" xr:uid="{B7F830F6-D879-744C-BE9C-129021E61313}"/>
    <cellStyle name="Normal 2 2" xfId="4" xr:uid="{3DDB658F-2A25-EC49-AABD-01454B1BB7D1}"/>
    <cellStyle name="Normal 2 3" xfId="10" xr:uid="{057A12BF-F8E0-324C-948A-CE1343C618F4}"/>
    <cellStyle name="Normal 3" xfId="15" xr:uid="{DAA441B0-02C6-4949-A4B9-4F183F6772C6}"/>
    <cellStyle name="Normal 3 2" xfId="2" xr:uid="{C1EC3574-1656-DF4A-A48B-E8FDEBE7DC0F}"/>
    <cellStyle name="Normal 3 3" xfId="6" xr:uid="{F74E6FDA-0421-5B4F-AA62-D437B51944A1}"/>
    <cellStyle name="Percent" xfId="1" builtinId="5"/>
    <cellStyle name="Percent 2" xfId="7" xr:uid="{695A5F60-1151-BB44-83A2-F0F8AE50C120}"/>
    <cellStyle name="Percent 2 2" xfId="8" xr:uid="{0D68C26E-58D2-5B41-9FC5-F66BB2AC9080}"/>
    <cellStyle name="Percent 2 3" xfId="12" xr:uid="{6D24EDF7-DC67-8845-8D04-46A5F330A669}"/>
    <cellStyle name="Percent 3" xfId="14" xr:uid="{C4CD1E1D-FEAC-EB47-9B52-1FE3F13EC5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</a:t>
            </a:r>
            <a:r>
              <a:rPr lang="en-US" baseline="0"/>
              <a:t> Allocation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5421832505267506E-2"/>
          <c:y val="0.17881106001120942"/>
          <c:w val="0.59577788070608817"/>
          <c:h val="0.773632478632478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038-7A44-AC25-67BE3C6708C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252-C94F-83C3-2BB98C98963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'Capital Allocation'!$B$11:$B$12</c:f>
              <c:strCache>
                <c:ptCount val="2"/>
                <c:pt idx="0">
                  <c:v>y: weight of risky pf</c:v>
                </c:pt>
                <c:pt idx="1">
                  <c:v>1-y: weight of risk free asset</c:v>
                </c:pt>
              </c:strCache>
            </c:strRef>
          </c:cat>
          <c:val>
            <c:numRef>
              <c:f>'Capital Allocation'!$D$11:$D$12</c:f>
              <c:numCache>
                <c:formatCode>0.00%</c:formatCode>
                <c:ptCount val="2"/>
                <c:pt idx="0">
                  <c:v>0.41464963383531289</c:v>
                </c:pt>
                <c:pt idx="1">
                  <c:v>0.58535036616468705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2-C94F-83C3-2BB98C98963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403949343276042"/>
          <c:y val="0.25939739987006105"/>
          <c:w val="0.24073656928824783"/>
          <c:h val="0.5630550514409979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Max. Utiliity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'Capital Allocation'!$E$22</c:f>
              <c:strCache>
                <c:ptCount val="1"/>
                <c:pt idx="0">
                  <c:v>Utiliity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'Capital Allocation'!$B$24:$B$33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 formatCode="0.0">
                  <c:v>1</c:v>
                </c:pt>
              </c:numCache>
            </c:numRef>
          </c:xVal>
          <c:yVal>
            <c:numRef>
              <c:f>'Capital Allocation'!$E$24:$E$33</c:f>
              <c:numCache>
                <c:formatCode>0.00%</c:formatCode>
                <c:ptCount val="10"/>
                <c:pt idx="0">
                  <c:v>6.0655443066682808E-2</c:v>
                </c:pt>
                <c:pt idx="1">
                  <c:v>7.5646423276394398E-2</c:v>
                </c:pt>
                <c:pt idx="2">
                  <c:v>8.4972940629134797E-2</c:v>
                </c:pt>
                <c:pt idx="3">
                  <c:v>8.8634995124903998E-2</c:v>
                </c:pt>
                <c:pt idx="4">
                  <c:v>8.6632586763701974E-2</c:v>
                </c:pt>
                <c:pt idx="5">
                  <c:v>7.8965715545528725E-2</c:v>
                </c:pt>
                <c:pt idx="6">
                  <c:v>6.5634381470384362E-2</c:v>
                </c:pt>
                <c:pt idx="7">
                  <c:v>4.6638584538268663E-2</c:v>
                </c:pt>
                <c:pt idx="8">
                  <c:v>2.1978324749181877E-2</c:v>
                </c:pt>
                <c:pt idx="9">
                  <c:v>-8.3463978968761898E-3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13-F942-AAFA-DC10E22F1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634319"/>
        <c:axId val="1404941903"/>
      </c:scatterChart>
      <c:valAx>
        <c:axId val="140463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941903"/>
        <c:crosses val="autoZero"/>
        <c:crossBetween val="midCat"/>
      </c:valAx>
      <c:valAx>
        <c:axId val="14049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63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Your Indiff meets Your 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'Capital Allocation'!$F$22</c:f>
              <c:strCache>
                <c:ptCount val="1"/>
                <c:pt idx="0">
                  <c:v>E(rc) on Indiff.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'Capital Allocation'!$D$24:$D$33</c:f>
              <c:numCache>
                <c:formatCode>0.00%</c:formatCode>
                <c:ptCount val="10"/>
                <c:pt idx="0">
                  <c:v>3.3658469534342192E-2</c:v>
                </c:pt>
                <c:pt idx="1">
                  <c:v>6.7316939068684384E-2</c:v>
                </c:pt>
                <c:pt idx="2">
                  <c:v>0.10097540860302656</c:v>
                </c:pt>
                <c:pt idx="3">
                  <c:v>0.13463387813736877</c:v>
                </c:pt>
                <c:pt idx="4">
                  <c:v>0.16829234767171095</c:v>
                </c:pt>
                <c:pt idx="5">
                  <c:v>0.20195081720605312</c:v>
                </c:pt>
                <c:pt idx="6">
                  <c:v>0.2356092867403953</c:v>
                </c:pt>
                <c:pt idx="7">
                  <c:v>0.26926775627473754</c:v>
                </c:pt>
                <c:pt idx="8">
                  <c:v>0.30292622580907969</c:v>
                </c:pt>
                <c:pt idx="9">
                  <c:v>0.33658469534342189</c:v>
                </c:pt>
              </c:numCache>
            </c:numRef>
          </c:cat>
          <c:val>
            <c:numRef>
              <c:f>'Capital Allocation'!$F$24:$F$33</c:f>
              <c:numCache>
                <c:formatCode>0.00%</c:formatCode>
                <c:ptCount val="10"/>
                <c:pt idx="0">
                  <c:v>9.1528009573808605E-2</c:v>
                </c:pt>
                <c:pt idx="1">
                  <c:v>0.10002470385926543</c:v>
                </c:pt>
                <c:pt idx="2">
                  <c:v>0.11418586100169344</c:v>
                </c:pt>
                <c:pt idx="3">
                  <c:v>0.13401148100109267</c:v>
                </c:pt>
                <c:pt idx="4">
                  <c:v>0.15950156385746309</c:v>
                </c:pt>
                <c:pt idx="5">
                  <c:v>0.19065610957080473</c:v>
                </c:pt>
                <c:pt idx="6">
                  <c:v>0.22747511814111754</c:v>
                </c:pt>
                <c:pt idx="7">
                  <c:v>0.26995858956840169</c:v>
                </c:pt>
                <c:pt idx="8">
                  <c:v>0.31810652385265681</c:v>
                </c:pt>
                <c:pt idx="9">
                  <c:v>0.37191892099388335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8A-D949-BC77-83495A19F7CF}"/>
            </c:ext>
          </c:extLst>
        </c:ser>
        <c:ser>
          <c:idx val="1"/>
          <c:order val="1"/>
          <c:tx>
            <c:strRef>
              <c:f>'Capital Allocation'!$D$22</c:f>
              <c:strCache>
                <c:ptCount val="1"/>
                <c:pt idx="0">
                  <c:v>𝜎 c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'Capital Allocation'!$D$24:$D$33</c:f>
              <c:numCache>
                <c:formatCode>0.00%</c:formatCode>
                <c:ptCount val="10"/>
                <c:pt idx="0">
                  <c:v>3.3658469534342192E-2</c:v>
                </c:pt>
                <c:pt idx="1">
                  <c:v>6.7316939068684384E-2</c:v>
                </c:pt>
                <c:pt idx="2">
                  <c:v>0.10097540860302656</c:v>
                </c:pt>
                <c:pt idx="3">
                  <c:v>0.13463387813736877</c:v>
                </c:pt>
                <c:pt idx="4">
                  <c:v>0.16829234767171095</c:v>
                </c:pt>
                <c:pt idx="5">
                  <c:v>0.20195081720605312</c:v>
                </c:pt>
                <c:pt idx="6">
                  <c:v>0.2356092867403953</c:v>
                </c:pt>
                <c:pt idx="7">
                  <c:v>0.26926775627473754</c:v>
                </c:pt>
                <c:pt idx="8">
                  <c:v>0.30292622580907969</c:v>
                </c:pt>
                <c:pt idx="9">
                  <c:v>0.33658469534342189</c:v>
                </c:pt>
              </c:numCache>
            </c:numRef>
          </c:cat>
          <c:val>
            <c:numRef>
              <c:f>'Capital Allocation'!$C$24:$C$33</c:f>
              <c:numCache>
                <c:formatCode>0.00%</c:formatCode>
                <c:ptCount val="10"/>
                <c:pt idx="0">
                  <c:v>6.3487674495168414E-2</c:v>
                </c:pt>
                <c:pt idx="1">
                  <c:v>8.697534899033682E-2</c:v>
                </c:pt>
                <c:pt idx="2">
                  <c:v>0.11046302348550523</c:v>
                </c:pt>
                <c:pt idx="3">
                  <c:v>0.13395069798067366</c:v>
                </c:pt>
                <c:pt idx="4">
                  <c:v>0.15743837247584205</c:v>
                </c:pt>
                <c:pt idx="5">
                  <c:v>0.18092604697101045</c:v>
                </c:pt>
                <c:pt idx="6">
                  <c:v>0.20441372146617889</c:v>
                </c:pt>
                <c:pt idx="7">
                  <c:v>0.22790139596134731</c:v>
                </c:pt>
                <c:pt idx="8">
                  <c:v>0.25138907045651571</c:v>
                </c:pt>
                <c:pt idx="9">
                  <c:v>0.27487674495168413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8A-D949-BC77-83495A19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74014719"/>
        <c:axId val="1348506064"/>
      </c:lineChart>
      <c:catAx>
        <c:axId val="274014719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506064"/>
        <c:crosses val="autoZero"/>
        <c:auto val="1"/>
        <c:lblAlgn val="ctr"/>
        <c:lblOffset val="100"/>
        <c:noMultiLvlLbl val="0"/>
      </c:catAx>
      <c:valAx>
        <c:axId val="134850606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1471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2000" b="1"/>
              <a:t>Efficient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Efficient Frontier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'Capital Allocation'!$D$23:$D$33</c:f>
              <c:numCache>
                <c:formatCode>0.00%</c:formatCode>
                <c:ptCount val="11"/>
                <c:pt idx="0">
                  <c:v>0.13956472067872022</c:v>
                </c:pt>
                <c:pt idx="1">
                  <c:v>3.3658469534342192E-2</c:v>
                </c:pt>
                <c:pt idx="2">
                  <c:v>6.7316939068684384E-2</c:v>
                </c:pt>
                <c:pt idx="3">
                  <c:v>0.10097540860302656</c:v>
                </c:pt>
                <c:pt idx="4">
                  <c:v>0.13463387813736877</c:v>
                </c:pt>
                <c:pt idx="5">
                  <c:v>0.16829234767171095</c:v>
                </c:pt>
                <c:pt idx="6">
                  <c:v>0.20195081720605312</c:v>
                </c:pt>
                <c:pt idx="7">
                  <c:v>0.2356092867403953</c:v>
                </c:pt>
                <c:pt idx="8">
                  <c:v>0.26926775627473754</c:v>
                </c:pt>
                <c:pt idx="9">
                  <c:v>0.30292622580907969</c:v>
                </c:pt>
                <c:pt idx="10">
                  <c:v>0.33658469534342189</c:v>
                </c:pt>
              </c:numCache>
            </c:numRef>
          </c:xVal>
          <c:yVal>
            <c:numRef>
              <c:f>'Capital Allocation'!$C$23:$C$33</c:f>
              <c:numCache>
                <c:formatCode>0.00%</c:formatCode>
                <c:ptCount val="11"/>
                <c:pt idx="0">
                  <c:v>0.13739155629064601</c:v>
                </c:pt>
                <c:pt idx="1">
                  <c:v>6.3487674495168414E-2</c:v>
                </c:pt>
                <c:pt idx="2">
                  <c:v>8.697534899033682E-2</c:v>
                </c:pt>
                <c:pt idx="3">
                  <c:v>0.11046302348550523</c:v>
                </c:pt>
                <c:pt idx="4">
                  <c:v>0.13395069798067366</c:v>
                </c:pt>
                <c:pt idx="5">
                  <c:v>0.15743837247584205</c:v>
                </c:pt>
                <c:pt idx="6">
                  <c:v>0.18092604697101045</c:v>
                </c:pt>
                <c:pt idx="7">
                  <c:v>0.20441372146617889</c:v>
                </c:pt>
                <c:pt idx="8">
                  <c:v>0.22790139596134731</c:v>
                </c:pt>
                <c:pt idx="9">
                  <c:v>0.25138907045651571</c:v>
                </c:pt>
                <c:pt idx="10">
                  <c:v>0.27487674495168413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36-D948-A46C-BF5107C59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68112"/>
        <c:axId val="153969760"/>
      </c:scatterChart>
      <c:valAx>
        <c:axId val="15396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69760"/>
        <c:crosses val="autoZero"/>
        <c:crossBetween val="midCat"/>
      </c:valAx>
      <c:valAx>
        <c:axId val="1539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6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4700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gradFill>
        <a:gsLst>
          <a:gs pos="4700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>
          <a:effectLst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Optimal</a:t>
            </a:r>
            <a:r>
              <a:rPr lang="en-US" sz="1200" baseline="0"/>
              <a:t> Complete Portfolio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0796420895243435E-2"/>
          <c:y val="0.16398924942056645"/>
          <c:w val="0.58841200588730025"/>
          <c:h val="0.77606120775370313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5AC6-334D-86E9-273A97DE93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EDB-7B41-B7CE-B8186F5C0C98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AC6-334D-86E9-273A97DE932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'Asset Classes Allocation'!$B$30:$B$32</c:f>
              <c:strCache>
                <c:ptCount val="3"/>
                <c:pt idx="0">
                  <c:v>Weight (1-y): Risk-Free Asset</c:v>
                </c:pt>
                <c:pt idx="1">
                  <c:v>Bond weight in the Optimal Complete Pf</c:v>
                </c:pt>
                <c:pt idx="2">
                  <c:v>Equity weight in the Optimal Complete Pf</c:v>
                </c:pt>
              </c:strCache>
            </c:strRef>
          </c:cat>
          <c:val>
            <c:numRef>
              <c:f>'Asset Classes Allocation'!$D$30:$D$32</c:f>
              <c:numCache>
                <c:formatCode>0.00%</c:formatCode>
                <c:ptCount val="3"/>
                <c:pt idx="0">
                  <c:v>0.58535036616468705</c:v>
                </c:pt>
                <c:pt idx="1">
                  <c:v>0</c:v>
                </c:pt>
                <c:pt idx="2">
                  <c:v>0.41464963383531289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6-334D-86E9-273A97DE932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Optimal Risky Portfolio</c:v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'Asset Classes Allocation'!$E$12:$E$22</c:f>
              <c:numCache>
                <c:formatCode>0.0000</c:formatCode>
                <c:ptCount val="11"/>
                <c:pt idx="0">
                  <c:v>0.15055577040639262</c:v>
                </c:pt>
                <c:pt idx="1">
                  <c:v>0.15506849564875064</c:v>
                </c:pt>
                <c:pt idx="2">
                  <c:v>0.16472029386305509</c:v>
                </c:pt>
                <c:pt idx="3">
                  <c:v>0.17868030279064417</c:v>
                </c:pt>
                <c:pt idx="4">
                  <c:v>0.19603026431610451</c:v>
                </c:pt>
                <c:pt idx="5">
                  <c:v>0.21595466417233905</c:v>
                </c:pt>
                <c:pt idx="6">
                  <c:v>0.23780729163588349</c:v>
                </c:pt>
                <c:pt idx="7">
                  <c:v>0.26110445699003487</c:v>
                </c:pt>
                <c:pt idx="8">
                  <c:v>0.28549274157566296</c:v>
                </c:pt>
                <c:pt idx="9">
                  <c:v>0.31071532316925726</c:v>
                </c:pt>
                <c:pt idx="10">
                  <c:v>0.33658469534342189</c:v>
                </c:pt>
              </c:numCache>
            </c:numRef>
          </c:xVal>
          <c:yVal>
            <c:numRef>
              <c:f>'Asset Classes Allocation'!$D$12:$D$22</c:f>
              <c:numCache>
                <c:formatCode>0.0000</c:formatCode>
                <c:ptCount val="11"/>
                <c:pt idx="0">
                  <c:v>-0.11534389592283142</c:v>
                </c:pt>
                <c:pt idx="1">
                  <c:v>-7.6321831835379869E-2</c:v>
                </c:pt>
                <c:pt idx="2">
                  <c:v>-3.7299767747928321E-2</c:v>
                </c:pt>
                <c:pt idx="3">
                  <c:v>1.722296339523241E-3</c:v>
                </c:pt>
                <c:pt idx="4">
                  <c:v>4.0744360426974796E-2</c:v>
                </c:pt>
                <c:pt idx="5">
                  <c:v>7.9766424514426351E-2</c:v>
                </c:pt>
                <c:pt idx="6">
                  <c:v>0.11878848860187788</c:v>
                </c:pt>
                <c:pt idx="7">
                  <c:v>0.15781055268932945</c:v>
                </c:pt>
                <c:pt idx="8">
                  <c:v>0.19683261677678102</c:v>
                </c:pt>
                <c:pt idx="9">
                  <c:v>0.23585468086423259</c:v>
                </c:pt>
                <c:pt idx="10">
                  <c:v>0.27487674495168413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AB-D94D-9D61-E2B322686B04}"/>
            </c:ext>
          </c:extLst>
        </c:ser>
        <c:ser>
          <c:idx val="1"/>
          <c:order val="1"/>
          <c:tx>
            <c:v>Minimum Variance Pf</c:v>
          </c:tx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forward val="0.1"/>
            <c:dispRSqr val="0"/>
            <c:dispEq val="0"/>
          </c:trendline>
          <c:xVal>
            <c:numRef>
              <c:f>('Asset Classes Allocation'!$D$8,'Asset Classes Allocation'!$E$24)</c:f>
              <c:numCache>
                <c:formatCode>0.0000</c:formatCode>
                <c:ptCount val="2"/>
                <c:pt idx="0" formatCode="0.00%">
                  <c:v>0</c:v>
                </c:pt>
                <c:pt idx="1">
                  <c:v>0.19567288519931131</c:v>
                </c:pt>
              </c:numCache>
            </c:numRef>
          </c:xVal>
          <c:yVal>
            <c:numRef>
              <c:f>('Asset Classes Allocation'!$C$8,'Asset Classes Allocation'!$D$24)</c:f>
              <c:numCache>
                <c:formatCode>0.0000</c:formatCode>
                <c:ptCount val="2"/>
                <c:pt idx="0" formatCode="0.00%">
                  <c:v>0.04</c:v>
                </c:pt>
                <c:pt idx="1">
                  <c:v>3.9999999946082151E-2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AB-D94D-9D61-E2B322686B04}"/>
            </c:ext>
          </c:extLst>
        </c:ser>
        <c:ser>
          <c:idx val="2"/>
          <c:order val="2"/>
          <c:tx>
            <c:v>Optimal Risky Pf</c:v>
          </c:tx>
          <c:spPr>
            <a:ln w="9525" cap="flat" cmpd="sng" algn="ctr">
              <a:solidFill>
                <a:schemeClr val="accent3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linear"/>
            <c:forward val="0.1"/>
            <c:dispRSqr val="0"/>
            <c:dispEq val="0"/>
          </c:trendline>
          <c:xVal>
            <c:numRef>
              <c:f>('Asset Classes Allocation'!$D$8,'Asset Classes Allocation'!$E$26)</c:f>
              <c:numCache>
                <c:formatCode>0.0000</c:formatCode>
                <c:ptCount val="2"/>
                <c:pt idx="0" formatCode="0.00%">
                  <c:v>0</c:v>
                </c:pt>
                <c:pt idx="1">
                  <c:v>0.33658469534342189</c:v>
                </c:pt>
              </c:numCache>
            </c:numRef>
          </c:xVal>
          <c:yVal>
            <c:numRef>
              <c:f>('Asset Classes Allocation'!$C$8,'Asset Classes Allocation'!$D$26)</c:f>
              <c:numCache>
                <c:formatCode>0.0000</c:formatCode>
                <c:ptCount val="2"/>
                <c:pt idx="0" formatCode="0.00%">
                  <c:v>0.04</c:v>
                </c:pt>
                <c:pt idx="1">
                  <c:v>0.27487674495168413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AB-D94D-9D61-E2B322686B04}"/>
            </c:ext>
          </c:extLst>
        </c:ser>
        <c:ser>
          <c:idx val="3"/>
          <c:order val="3"/>
          <c:tx>
            <c:v>Indifference Curve</c:v>
          </c:tx>
          <c:spPr>
            <a:ln w="9525" cap="flat" cmpd="sng" algn="ctr">
              <a:solidFill>
                <a:schemeClr val="accent4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'Capital Allocation'!$D$24:$D$33</c:f>
              <c:numCache>
                <c:formatCode>0.00%</c:formatCode>
                <c:ptCount val="10"/>
                <c:pt idx="0">
                  <c:v>3.3658469534342192E-2</c:v>
                </c:pt>
                <c:pt idx="1">
                  <c:v>6.7316939068684384E-2</c:v>
                </c:pt>
                <c:pt idx="2">
                  <c:v>0.10097540860302656</c:v>
                </c:pt>
                <c:pt idx="3">
                  <c:v>0.13463387813736877</c:v>
                </c:pt>
                <c:pt idx="4">
                  <c:v>0.16829234767171095</c:v>
                </c:pt>
                <c:pt idx="5">
                  <c:v>0.20195081720605312</c:v>
                </c:pt>
                <c:pt idx="6">
                  <c:v>0.2356092867403953</c:v>
                </c:pt>
                <c:pt idx="7">
                  <c:v>0.26926775627473754</c:v>
                </c:pt>
                <c:pt idx="8">
                  <c:v>0.30292622580907969</c:v>
                </c:pt>
                <c:pt idx="9">
                  <c:v>0.33658469534342189</c:v>
                </c:pt>
              </c:numCache>
            </c:numRef>
          </c:xVal>
          <c:yVal>
            <c:numRef>
              <c:f>'Capital Allocation'!$F$24:$F$33</c:f>
              <c:numCache>
                <c:formatCode>0.00%</c:formatCode>
                <c:ptCount val="10"/>
                <c:pt idx="0">
                  <c:v>9.1528009573808605E-2</c:v>
                </c:pt>
                <c:pt idx="1">
                  <c:v>0.10002470385926543</c:v>
                </c:pt>
                <c:pt idx="2">
                  <c:v>0.11418586100169344</c:v>
                </c:pt>
                <c:pt idx="3">
                  <c:v>0.13401148100109267</c:v>
                </c:pt>
                <c:pt idx="4">
                  <c:v>0.15950156385746309</c:v>
                </c:pt>
                <c:pt idx="5">
                  <c:v>0.19065610957080473</c:v>
                </c:pt>
                <c:pt idx="6">
                  <c:v>0.22747511814111754</c:v>
                </c:pt>
                <c:pt idx="7">
                  <c:v>0.26995858956840169</c:v>
                </c:pt>
                <c:pt idx="8">
                  <c:v>0.31810652385265681</c:v>
                </c:pt>
                <c:pt idx="9">
                  <c:v>0.37191892099388335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EB-3D4A-8E68-7C5BB44CB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413072"/>
        <c:axId val="457112208"/>
      </c:scatterChart>
      <c:valAx>
        <c:axId val="32441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12208"/>
        <c:crosses val="autoZero"/>
        <c:crossBetween val="midCat"/>
      </c:valAx>
      <c:valAx>
        <c:axId val="45711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41307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Sharpe Ratio vs Bond Weight</a:t>
            </a:r>
            <a:endParaRPr lang="en-US" sz="1600" b="1"/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'Asset Classes Allocation'!$F$11</c:f>
              <c:strCache>
                <c:ptCount val="1"/>
                <c:pt idx="0">
                  <c:v>(Sharpe ratio)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'Asset Classes Allocation'!$B$12:$B$22</c:f>
              <c:numCache>
                <c:formatCode>0.0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'Asset Classes Allocation'!$F$12:$F$22</c:f>
              <c:numCache>
                <c:formatCode>0.0000</c:formatCode>
                <c:ptCount val="11"/>
                <c:pt idx="0">
                  <c:v>-1.0318030023260769</c:v>
                </c:pt>
                <c:pt idx="1">
                  <c:v>-0.75013194233123426</c:v>
                </c:pt>
                <c:pt idx="2">
                  <c:v>-0.46927895728618407</c:v>
                </c:pt>
                <c:pt idx="3">
                  <c:v>-0.21422452874017073</c:v>
                </c:pt>
                <c:pt idx="4">
                  <c:v>3.7971709601660915E-3</c:v>
                </c:pt>
                <c:pt idx="5">
                  <c:v>0.18414246650718974</c:v>
                </c:pt>
                <c:pt idx="6">
                  <c:v>0.33131233302347246</c:v>
                </c:pt>
                <c:pt idx="7">
                  <c:v>0.45120084906794877</c:v>
                </c:pt>
                <c:pt idx="8">
                  <c:v>0.54934011951129169</c:v>
                </c:pt>
                <c:pt idx="9">
                  <c:v>0.6303347992835997</c:v>
                </c:pt>
                <c:pt idx="10">
                  <c:v>0.69782360339360117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4-FE4C-823C-23CCE7E13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977344"/>
        <c:axId val="736978992"/>
      </c:scatterChart>
      <c:valAx>
        <c:axId val="73697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Bond</a:t>
                </a:r>
                <a:r>
                  <a:rPr lang="en-US" baseline="0"/>
                  <a:t> Weight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978992"/>
        <c:crosses val="autoZero"/>
        <c:crossBetween val="midCat"/>
      </c:valAx>
      <c:valAx>
        <c:axId val="7369789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Sharpe</a:t>
                </a:r>
                <a:r>
                  <a:rPr lang="en-US" baseline="0"/>
                  <a:t> Ratio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97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chemeClr val="accent1">
                    <a:lumMod val="60000"/>
                    <a:lumOff val="40000"/>
                  </a:schemeClr>
                </a:solidFill>
              </a:rPr>
              <a:t>Expected Return vs Standard Deviation</a:t>
            </a:r>
            <a:endParaRPr lang="en-US" sz="1600" b="1">
              <a:solidFill>
                <a:schemeClr val="accent1">
                  <a:lumMod val="60000"/>
                  <a:lumOff val="40000"/>
                </a:schemeClr>
              </a:solidFill>
            </a:endParaRPr>
          </a:p>
        </c:rich>
      </c:tx>
      <c:layout>
        <c:manualLayout>
          <c:xMode val="edge"/>
          <c:yMode val="edge"/>
          <c:x val="0.1622430008748906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'Asset Classes Allocation'!$E$12:$E$22</c:f>
              <c:numCache>
                <c:formatCode>0.0000</c:formatCode>
                <c:ptCount val="11"/>
                <c:pt idx="0">
                  <c:v>0.15055577040639262</c:v>
                </c:pt>
                <c:pt idx="1">
                  <c:v>0.15506849564875064</c:v>
                </c:pt>
                <c:pt idx="2">
                  <c:v>0.16472029386305509</c:v>
                </c:pt>
                <c:pt idx="3">
                  <c:v>0.17868030279064417</c:v>
                </c:pt>
                <c:pt idx="4">
                  <c:v>0.19603026431610451</c:v>
                </c:pt>
                <c:pt idx="5">
                  <c:v>0.21595466417233905</c:v>
                </c:pt>
                <c:pt idx="6">
                  <c:v>0.23780729163588349</c:v>
                </c:pt>
                <c:pt idx="7">
                  <c:v>0.26110445699003487</c:v>
                </c:pt>
                <c:pt idx="8">
                  <c:v>0.28549274157566296</c:v>
                </c:pt>
                <c:pt idx="9">
                  <c:v>0.31071532316925726</c:v>
                </c:pt>
                <c:pt idx="10">
                  <c:v>0.33658469534342189</c:v>
                </c:pt>
              </c:numCache>
            </c:numRef>
          </c:xVal>
          <c:yVal>
            <c:numRef>
              <c:f>'Asset Classes Allocation'!$D$12:$D$22</c:f>
              <c:numCache>
                <c:formatCode>0.0000</c:formatCode>
                <c:ptCount val="11"/>
                <c:pt idx="0">
                  <c:v>-0.11534389592283142</c:v>
                </c:pt>
                <c:pt idx="1">
                  <c:v>-7.6321831835379869E-2</c:v>
                </c:pt>
                <c:pt idx="2">
                  <c:v>-3.7299767747928321E-2</c:v>
                </c:pt>
                <c:pt idx="3">
                  <c:v>1.722296339523241E-3</c:v>
                </c:pt>
                <c:pt idx="4">
                  <c:v>4.0744360426974796E-2</c:v>
                </c:pt>
                <c:pt idx="5">
                  <c:v>7.9766424514426351E-2</c:v>
                </c:pt>
                <c:pt idx="6">
                  <c:v>0.11878848860187788</c:v>
                </c:pt>
                <c:pt idx="7">
                  <c:v>0.15781055268932945</c:v>
                </c:pt>
                <c:pt idx="8">
                  <c:v>0.19683261677678102</c:v>
                </c:pt>
                <c:pt idx="9">
                  <c:v>0.23585468086423259</c:v>
                </c:pt>
                <c:pt idx="10">
                  <c:v>0.27487674495168413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AD-6743-A244-291E52027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124320"/>
        <c:axId val="466930912"/>
      </c:scatterChart>
      <c:valAx>
        <c:axId val="115412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Standard Deviation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930912"/>
        <c:crosses val="autoZero"/>
        <c:crossBetween val="midCat"/>
      </c:valAx>
      <c:valAx>
        <c:axId val="4669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Expected Return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12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 Portfolio: Large</a:t>
            </a:r>
            <a:r>
              <a:rPr lang="en-US" baseline="0"/>
              <a:t>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EB0-5C4E-BD2E-C016549E7C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EB0-5C4E-BD2E-C016549E7C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EB0-5C4E-BD2E-C016549E7C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EEB0-5C4E-BD2E-C016549E7C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EEB0-5C4E-BD2E-C016549E7C97}"/>
              </c:ext>
            </c:extLst>
          </c:dPt>
          <c:dLbls>
            <c:dLbl>
              <c:idx val="1"/>
              <c:layout>
                <c:manualLayout>
                  <c:x val="-9.0588482139214457E-2"/>
                  <c:y val="-0.2454160598992228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B0-5C4E-BD2E-C016549E7C97}"/>
                </c:ext>
              </c:extLst>
            </c:dLbl>
            <c:dLbl>
              <c:idx val="2"/>
              <c:layout>
                <c:manualLayout>
                  <c:x val="-1.5307412998245685E-2"/>
                  <c:y val="-0.1655125198139103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B0-5C4E-BD2E-C016549E7C97}"/>
                </c:ext>
              </c:extLst>
            </c:dLbl>
            <c:dLbl>
              <c:idx val="4"/>
              <c:layout>
                <c:manualLayout>
                  <c:x val="6.5856923324998887E-2"/>
                  <c:y val="0.112942188486668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EB0-5C4E-BD2E-C016549E7C97}"/>
                </c:ext>
              </c:extLst>
            </c:dLbl>
            <c:numFmt formatCode="0.00%" sourceLinked="0"/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'Security Allocation'!$F$53:$J$53</c:f>
              <c:strCache>
                <c:ptCount val="5"/>
                <c:pt idx="0">
                  <c:v>V</c:v>
                </c:pt>
                <c:pt idx="1">
                  <c:v>MA</c:v>
                </c:pt>
                <c:pt idx="2">
                  <c:v>TSM</c:v>
                </c:pt>
                <c:pt idx="3">
                  <c:v>GOOGL</c:v>
                </c:pt>
                <c:pt idx="4">
                  <c:v>NVDA</c:v>
                </c:pt>
              </c:strCache>
            </c:strRef>
          </c:cat>
          <c:val>
            <c:numRef>
              <c:f>'Security Allocation'!$F$54:$J$54</c:f>
              <c:numCache>
                <c:formatCode>0.0000</c:formatCode>
                <c:ptCount val="5"/>
                <c:pt idx="0">
                  <c:v>7.4254092346974568E-2</c:v>
                </c:pt>
                <c:pt idx="1">
                  <c:v>6.1542227220697729E-2</c:v>
                </c:pt>
                <c:pt idx="2">
                  <c:v>0.14184809927635103</c:v>
                </c:pt>
                <c:pt idx="3">
                  <c:v>0.24138345510585718</c:v>
                </c:pt>
                <c:pt idx="4">
                  <c:v>0.48097212605011941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B-314F-AB19-E3D4CA4BF7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705430053628954"/>
          <c:y val="0.27611335745194016"/>
          <c:w val="0.14874414801981645"/>
          <c:h val="0.4617879690714336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Excess Return of the</a:t>
            </a: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Benchmark Index </a:t>
            </a:r>
            <a:r>
              <a:rPr lang="en-US" sz="1600" b="1"/>
              <a:t> vs. the Securities in the</a:t>
            </a:r>
            <a:r>
              <a:rPr lang="en-US" sz="1600" b="1" baseline="0"/>
              <a:t> </a:t>
            </a:r>
            <a:r>
              <a:rPr lang="en-US" sz="1600" b="1"/>
              <a:t>Active Pf </a:t>
            </a:r>
            <a:r>
              <a:rPr lang="en-US" sz="1600" b="1" baseline="0"/>
              <a:t>(</a:t>
            </a:r>
            <a:r>
              <a:rPr lang="en-US" sz="1600" b="1"/>
              <a:t>59 months, 2019</a:t>
            </a:r>
            <a:r>
              <a:rPr lang="en-US" sz="1600" b="1" baseline="0"/>
              <a:t> - 2024)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QQQ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'Data. Securities'!$B$39:$B$97</c:f>
              <c:numCache>
                <c:formatCode>m/d/yy</c:formatCode>
                <c:ptCount val="59"/>
                <c:pt idx="0">
                  <c:v>43983</c:v>
                </c:pt>
                <c:pt idx="1">
                  <c:v>44013</c:v>
                </c:pt>
                <c:pt idx="2">
                  <c:v>44044</c:v>
                </c:pt>
                <c:pt idx="3">
                  <c:v>44075</c:v>
                </c:pt>
                <c:pt idx="4">
                  <c:v>44105</c:v>
                </c:pt>
                <c:pt idx="5">
                  <c:v>44136</c:v>
                </c:pt>
                <c:pt idx="6">
                  <c:v>44166</c:v>
                </c:pt>
                <c:pt idx="7">
                  <c:v>44197</c:v>
                </c:pt>
                <c:pt idx="8">
                  <c:v>44228</c:v>
                </c:pt>
                <c:pt idx="9">
                  <c:v>44256</c:v>
                </c:pt>
                <c:pt idx="10">
                  <c:v>44287</c:v>
                </c:pt>
                <c:pt idx="11">
                  <c:v>44317</c:v>
                </c:pt>
                <c:pt idx="12">
                  <c:v>44348</c:v>
                </c:pt>
                <c:pt idx="13">
                  <c:v>44378</c:v>
                </c:pt>
                <c:pt idx="14">
                  <c:v>44409</c:v>
                </c:pt>
                <c:pt idx="15">
                  <c:v>44440</c:v>
                </c:pt>
                <c:pt idx="16">
                  <c:v>44470</c:v>
                </c:pt>
                <c:pt idx="17">
                  <c:v>44501</c:v>
                </c:pt>
                <c:pt idx="18">
                  <c:v>44531</c:v>
                </c:pt>
                <c:pt idx="19">
                  <c:v>44562</c:v>
                </c:pt>
                <c:pt idx="20">
                  <c:v>44593</c:v>
                </c:pt>
                <c:pt idx="21">
                  <c:v>44621</c:v>
                </c:pt>
                <c:pt idx="22">
                  <c:v>44652</c:v>
                </c:pt>
                <c:pt idx="23">
                  <c:v>44682</c:v>
                </c:pt>
                <c:pt idx="24">
                  <c:v>44713</c:v>
                </c:pt>
                <c:pt idx="25">
                  <c:v>44743</c:v>
                </c:pt>
                <c:pt idx="26">
                  <c:v>44774</c:v>
                </c:pt>
                <c:pt idx="27">
                  <c:v>44805</c:v>
                </c:pt>
                <c:pt idx="28">
                  <c:v>44835</c:v>
                </c:pt>
                <c:pt idx="29">
                  <c:v>44866</c:v>
                </c:pt>
                <c:pt idx="30">
                  <c:v>44896</c:v>
                </c:pt>
                <c:pt idx="31">
                  <c:v>44927</c:v>
                </c:pt>
                <c:pt idx="32">
                  <c:v>44958</c:v>
                </c:pt>
                <c:pt idx="33">
                  <c:v>44986</c:v>
                </c:pt>
                <c:pt idx="34">
                  <c:v>45017</c:v>
                </c:pt>
                <c:pt idx="35">
                  <c:v>45047</c:v>
                </c:pt>
                <c:pt idx="36">
                  <c:v>45078</c:v>
                </c:pt>
                <c:pt idx="37">
                  <c:v>45108</c:v>
                </c:pt>
                <c:pt idx="38">
                  <c:v>45139</c:v>
                </c:pt>
                <c:pt idx="39">
                  <c:v>45170</c:v>
                </c:pt>
                <c:pt idx="40">
                  <c:v>45200</c:v>
                </c:pt>
                <c:pt idx="41">
                  <c:v>45231</c:v>
                </c:pt>
                <c:pt idx="42">
                  <c:v>45261</c:v>
                </c:pt>
                <c:pt idx="43">
                  <c:v>45292</c:v>
                </c:pt>
                <c:pt idx="44">
                  <c:v>45323</c:v>
                </c:pt>
                <c:pt idx="45">
                  <c:v>45352</c:v>
                </c:pt>
                <c:pt idx="46">
                  <c:v>45383</c:v>
                </c:pt>
                <c:pt idx="47">
                  <c:v>45413</c:v>
                </c:pt>
                <c:pt idx="48">
                  <c:v>45444</c:v>
                </c:pt>
                <c:pt idx="49">
                  <c:v>45474</c:v>
                </c:pt>
                <c:pt idx="50">
                  <c:v>45505</c:v>
                </c:pt>
                <c:pt idx="51">
                  <c:v>45536</c:v>
                </c:pt>
                <c:pt idx="52">
                  <c:v>45566</c:v>
                </c:pt>
                <c:pt idx="53">
                  <c:v>45597</c:v>
                </c:pt>
                <c:pt idx="54">
                  <c:v>45627</c:v>
                </c:pt>
                <c:pt idx="55">
                  <c:v>45658</c:v>
                </c:pt>
                <c:pt idx="56">
                  <c:v>45689</c:v>
                </c:pt>
                <c:pt idx="57">
                  <c:v>45717</c:v>
                </c:pt>
                <c:pt idx="58">
                  <c:v>45352</c:v>
                </c:pt>
              </c:numCache>
            </c:numRef>
          </c:cat>
          <c:val>
            <c:numRef>
              <c:f>'Data. Securities'!$E$39:$E$97</c:f>
              <c:numCache>
                <c:formatCode>0.00%</c:formatCode>
                <c:ptCount val="59"/>
                <c:pt idx="0">
                  <c:v>5.7676784999714036E-2</c:v>
                </c:pt>
                <c:pt idx="1">
                  <c:v>7.0130116781832091E-2</c:v>
                </c:pt>
                <c:pt idx="2">
                  <c:v>0.10613401091661986</c:v>
                </c:pt>
                <c:pt idx="3">
                  <c:v>-6.1148961196123043E-2</c:v>
                </c:pt>
                <c:pt idx="4">
                  <c:v>-3.3762949091913054E-2</c:v>
                </c:pt>
                <c:pt idx="5">
                  <c:v>0.10890853265983255</c:v>
                </c:pt>
                <c:pt idx="6">
                  <c:v>4.3818206104321154E-2</c:v>
                </c:pt>
                <c:pt idx="7">
                  <c:v>-7.5026043327600751E-4</c:v>
                </c:pt>
                <c:pt idx="8">
                  <c:v>-4.6374460595649883E-3</c:v>
                </c:pt>
                <c:pt idx="9">
                  <c:v>1.25275495254474E-2</c:v>
                </c:pt>
                <c:pt idx="10">
                  <c:v>5.5764986205166865E-2</c:v>
                </c:pt>
                <c:pt idx="11">
                  <c:v>-1.5322321225935721E-2</c:v>
                </c:pt>
                <c:pt idx="12">
                  <c:v>5.8028124001278401E-2</c:v>
                </c:pt>
                <c:pt idx="13">
                  <c:v>2.5291327913279003E-2</c:v>
                </c:pt>
                <c:pt idx="14">
                  <c:v>3.8847906032164335E-2</c:v>
                </c:pt>
                <c:pt idx="15">
                  <c:v>-6.1213517665130647E-2</c:v>
                </c:pt>
                <c:pt idx="16">
                  <c:v>7.5320550446748985E-2</c:v>
                </c:pt>
                <c:pt idx="17">
                  <c:v>1.6619505411451595E-2</c:v>
                </c:pt>
                <c:pt idx="18">
                  <c:v>6.905227678836022E-3</c:v>
                </c:pt>
                <c:pt idx="19">
                  <c:v>-9.0799383026523045E-2</c:v>
                </c:pt>
                <c:pt idx="20">
                  <c:v>-4.8088886439214419E-2</c:v>
                </c:pt>
                <c:pt idx="21">
                  <c:v>4.2047775662108343E-2</c:v>
                </c:pt>
                <c:pt idx="22">
                  <c:v>-0.1392792419851894</c:v>
                </c:pt>
                <c:pt idx="23">
                  <c:v>-1.9207363165011072E-2</c:v>
                </c:pt>
                <c:pt idx="24">
                  <c:v>-9.4174564022675128E-2</c:v>
                </c:pt>
                <c:pt idx="25">
                  <c:v>0.12217982127345647</c:v>
                </c:pt>
                <c:pt idx="26">
                  <c:v>-5.4651167708036054E-2</c:v>
                </c:pt>
                <c:pt idx="27">
                  <c:v>-0.11028395350651379</c:v>
                </c:pt>
                <c:pt idx="28">
                  <c:v>3.6648697214734925E-2</c:v>
                </c:pt>
                <c:pt idx="29">
                  <c:v>5.2138228941684593E-2</c:v>
                </c:pt>
                <c:pt idx="30">
                  <c:v>-9.5656241828950744E-2</c:v>
                </c:pt>
                <c:pt idx="31">
                  <c:v>0.10307682673279736</c:v>
                </c:pt>
                <c:pt idx="32">
                  <c:v>-6.8991826846881779E-3</c:v>
                </c:pt>
                <c:pt idx="33">
                  <c:v>8.9880940208808852E-2</c:v>
                </c:pt>
                <c:pt idx="34">
                  <c:v>1.7483476742735306E-3</c:v>
                </c:pt>
                <c:pt idx="35">
                  <c:v>7.5515266188984492E-2</c:v>
                </c:pt>
                <c:pt idx="36">
                  <c:v>5.8252014989026511E-2</c:v>
                </c:pt>
                <c:pt idx="37">
                  <c:v>3.5260497070480033E-2</c:v>
                </c:pt>
                <c:pt idx="38">
                  <c:v>-1.8171134522443601E-2</c:v>
                </c:pt>
                <c:pt idx="39">
                  <c:v>-5.5505174832579031E-2</c:v>
                </c:pt>
                <c:pt idx="40">
                  <c:v>-2.3971179624664808E-2</c:v>
                </c:pt>
                <c:pt idx="41">
                  <c:v>0.10485338428051358</c:v>
                </c:pt>
                <c:pt idx="42">
                  <c:v>5.041959361517797E-2</c:v>
                </c:pt>
                <c:pt idx="43">
                  <c:v>1.4858696359966249E-2</c:v>
                </c:pt>
                <c:pt idx="44">
                  <c:v>4.9500203851596002E-2</c:v>
                </c:pt>
                <c:pt idx="45">
                  <c:v>8.0789673500379564E-3</c:v>
                </c:pt>
                <c:pt idx="46">
                  <c:v>-4.7071086987530299E-2</c:v>
                </c:pt>
                <c:pt idx="47">
                  <c:v>5.8184837137002697E-2</c:v>
                </c:pt>
                <c:pt idx="48">
                  <c:v>5.9678359329354468E-2</c:v>
                </c:pt>
                <c:pt idx="49">
                  <c:v>-2.0114448317366231E-2</c:v>
                </c:pt>
                <c:pt idx="50">
                  <c:v>7.7053657984305843E-3</c:v>
                </c:pt>
                <c:pt idx="51">
                  <c:v>2.1442529097640627E-2</c:v>
                </c:pt>
                <c:pt idx="52">
                  <c:v>-1.1979634068883506E-2</c:v>
                </c:pt>
                <c:pt idx="53">
                  <c:v>5.0174985360476786E-2</c:v>
                </c:pt>
                <c:pt idx="54">
                  <c:v>-4.1027451903589236E-4</c:v>
                </c:pt>
                <c:pt idx="55">
                  <c:v>1.8300764822095715E-2</c:v>
                </c:pt>
                <c:pt idx="56">
                  <c:v>-3.0368122435173207E-2</c:v>
                </c:pt>
                <c:pt idx="57">
                  <c:v>-8.0571265521380636E-2</c:v>
                </c:pt>
                <c:pt idx="58">
                  <c:v>-5.6263470670192474E-2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1C-DA49-B2A3-B16BDA065A4C}"/>
            </c:ext>
          </c:extLst>
        </c:ser>
        <c:ser>
          <c:idx val="1"/>
          <c:order val="1"/>
          <c:tx>
            <c:v>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'Data. Securities'!$B$39:$B$97</c:f>
              <c:numCache>
                <c:formatCode>m/d/yy</c:formatCode>
                <c:ptCount val="59"/>
                <c:pt idx="0">
                  <c:v>43983</c:v>
                </c:pt>
                <c:pt idx="1">
                  <c:v>44013</c:v>
                </c:pt>
                <c:pt idx="2">
                  <c:v>44044</c:v>
                </c:pt>
                <c:pt idx="3">
                  <c:v>44075</c:v>
                </c:pt>
                <c:pt idx="4">
                  <c:v>44105</c:v>
                </c:pt>
                <c:pt idx="5">
                  <c:v>44136</c:v>
                </c:pt>
                <c:pt idx="6">
                  <c:v>44166</c:v>
                </c:pt>
                <c:pt idx="7">
                  <c:v>44197</c:v>
                </c:pt>
                <c:pt idx="8">
                  <c:v>44228</c:v>
                </c:pt>
                <c:pt idx="9">
                  <c:v>44256</c:v>
                </c:pt>
                <c:pt idx="10">
                  <c:v>44287</c:v>
                </c:pt>
                <c:pt idx="11">
                  <c:v>44317</c:v>
                </c:pt>
                <c:pt idx="12">
                  <c:v>44348</c:v>
                </c:pt>
                <c:pt idx="13">
                  <c:v>44378</c:v>
                </c:pt>
                <c:pt idx="14">
                  <c:v>44409</c:v>
                </c:pt>
                <c:pt idx="15">
                  <c:v>44440</c:v>
                </c:pt>
                <c:pt idx="16">
                  <c:v>44470</c:v>
                </c:pt>
                <c:pt idx="17">
                  <c:v>44501</c:v>
                </c:pt>
                <c:pt idx="18">
                  <c:v>44531</c:v>
                </c:pt>
                <c:pt idx="19">
                  <c:v>44562</c:v>
                </c:pt>
                <c:pt idx="20">
                  <c:v>44593</c:v>
                </c:pt>
                <c:pt idx="21">
                  <c:v>44621</c:v>
                </c:pt>
                <c:pt idx="22">
                  <c:v>44652</c:v>
                </c:pt>
                <c:pt idx="23">
                  <c:v>44682</c:v>
                </c:pt>
                <c:pt idx="24">
                  <c:v>44713</c:v>
                </c:pt>
                <c:pt idx="25">
                  <c:v>44743</c:v>
                </c:pt>
                <c:pt idx="26">
                  <c:v>44774</c:v>
                </c:pt>
                <c:pt idx="27">
                  <c:v>44805</c:v>
                </c:pt>
                <c:pt idx="28">
                  <c:v>44835</c:v>
                </c:pt>
                <c:pt idx="29">
                  <c:v>44866</c:v>
                </c:pt>
                <c:pt idx="30">
                  <c:v>44896</c:v>
                </c:pt>
                <c:pt idx="31">
                  <c:v>44927</c:v>
                </c:pt>
                <c:pt idx="32">
                  <c:v>44958</c:v>
                </c:pt>
                <c:pt idx="33">
                  <c:v>44986</c:v>
                </c:pt>
                <c:pt idx="34">
                  <c:v>45017</c:v>
                </c:pt>
                <c:pt idx="35">
                  <c:v>45047</c:v>
                </c:pt>
                <c:pt idx="36">
                  <c:v>45078</c:v>
                </c:pt>
                <c:pt idx="37">
                  <c:v>45108</c:v>
                </c:pt>
                <c:pt idx="38">
                  <c:v>45139</c:v>
                </c:pt>
                <c:pt idx="39">
                  <c:v>45170</c:v>
                </c:pt>
                <c:pt idx="40">
                  <c:v>45200</c:v>
                </c:pt>
                <c:pt idx="41">
                  <c:v>45231</c:v>
                </c:pt>
                <c:pt idx="42">
                  <c:v>45261</c:v>
                </c:pt>
                <c:pt idx="43">
                  <c:v>45292</c:v>
                </c:pt>
                <c:pt idx="44">
                  <c:v>45323</c:v>
                </c:pt>
                <c:pt idx="45">
                  <c:v>45352</c:v>
                </c:pt>
                <c:pt idx="46">
                  <c:v>45383</c:v>
                </c:pt>
                <c:pt idx="47">
                  <c:v>45413</c:v>
                </c:pt>
                <c:pt idx="48">
                  <c:v>45444</c:v>
                </c:pt>
                <c:pt idx="49">
                  <c:v>45474</c:v>
                </c:pt>
                <c:pt idx="50">
                  <c:v>45505</c:v>
                </c:pt>
                <c:pt idx="51">
                  <c:v>45536</c:v>
                </c:pt>
                <c:pt idx="52">
                  <c:v>45566</c:v>
                </c:pt>
                <c:pt idx="53">
                  <c:v>45597</c:v>
                </c:pt>
                <c:pt idx="54">
                  <c:v>45627</c:v>
                </c:pt>
                <c:pt idx="55">
                  <c:v>45658</c:v>
                </c:pt>
                <c:pt idx="56">
                  <c:v>45689</c:v>
                </c:pt>
                <c:pt idx="57">
                  <c:v>45717</c:v>
                </c:pt>
                <c:pt idx="58">
                  <c:v>45352</c:v>
                </c:pt>
              </c:numCache>
            </c:numRef>
          </c:cat>
          <c:val>
            <c:numRef>
              <c:f>'Data. Securities'!$H$39:$H$97</c:f>
              <c:numCache>
                <c:formatCode>0.00%</c:formatCode>
                <c:ptCount val="59"/>
                <c:pt idx="0">
                  <c:v>-1.3935668920303325E-2</c:v>
                </c:pt>
                <c:pt idx="1">
                  <c:v>-1.7673034115028109E-2</c:v>
                </c:pt>
                <c:pt idx="2">
                  <c:v>0.11005952380952375</c:v>
                </c:pt>
                <c:pt idx="3">
                  <c:v>-6.0034121106341577E-2</c:v>
                </c:pt>
                <c:pt idx="4">
                  <c:v>-9.464703038789149E-2</c:v>
                </c:pt>
                <c:pt idx="5">
                  <c:v>0.15428044686588502</c:v>
                </c:pt>
                <c:pt idx="6">
                  <c:v>3.6505031297044598E-2</c:v>
                </c:pt>
                <c:pt idx="7">
                  <c:v>-0.11982398390710006</c:v>
                </c:pt>
                <c:pt idx="8">
                  <c:v>9.5709357481673057E-2</c:v>
                </c:pt>
                <c:pt idx="9">
                  <c:v>-6.4408242698181031E-3</c:v>
                </c:pt>
                <c:pt idx="10">
                  <c:v>9.9769675215289982E-2</c:v>
                </c:pt>
                <c:pt idx="11">
                  <c:v>-3.0135868013929236E-2</c:v>
                </c:pt>
                <c:pt idx="12">
                  <c:v>2.5351224519724123E-2</c:v>
                </c:pt>
                <c:pt idx="13">
                  <c:v>5.0425968693867139E-2</c:v>
                </c:pt>
                <c:pt idx="14">
                  <c:v>-7.3506635821258964E-2</c:v>
                </c:pt>
                <c:pt idx="15">
                  <c:v>-3.1050487414520579E-2</c:v>
                </c:pt>
                <c:pt idx="16">
                  <c:v>-5.2626262626262611E-2</c:v>
                </c:pt>
                <c:pt idx="17">
                  <c:v>-8.8331208386456944E-2</c:v>
                </c:pt>
                <c:pt idx="18">
                  <c:v>0.11505444599267176</c:v>
                </c:pt>
                <c:pt idx="19">
                  <c:v>4.0319474566624956E-2</c:v>
                </c:pt>
                <c:pt idx="20">
                  <c:v>-4.7768934871998882E-2</c:v>
                </c:pt>
                <c:pt idx="21">
                  <c:v>2.2809550249861164E-2</c:v>
                </c:pt>
                <c:pt idx="22">
                  <c:v>-4.2292615472486562E-2</c:v>
                </c:pt>
                <c:pt idx="23">
                  <c:v>-7.8376264877461424E-3</c:v>
                </c:pt>
                <c:pt idx="24">
                  <c:v>-7.5351054971642212E-2</c:v>
                </c:pt>
                <c:pt idx="25">
                  <c:v>7.3968713494844879E-2</c:v>
                </c:pt>
                <c:pt idx="26">
                  <c:v>-6.6508101142488979E-2</c:v>
                </c:pt>
                <c:pt idx="27">
                  <c:v>-0.10931692751581026</c:v>
                </c:pt>
                <c:pt idx="28">
                  <c:v>0.16277981048878884</c:v>
                </c:pt>
                <c:pt idx="29">
                  <c:v>4.4166183947995062E-2</c:v>
                </c:pt>
                <c:pt idx="30">
                  <c:v>-4.5913978494623676E-2</c:v>
                </c:pt>
                <c:pt idx="31">
                  <c:v>0.10472404055962023</c:v>
                </c:pt>
                <c:pt idx="32">
                  <c:v>-4.7944775060452062E-2</c:v>
                </c:pt>
                <c:pt idx="33">
                  <c:v>2.1764420599557598E-2</c:v>
                </c:pt>
                <c:pt idx="34">
                  <c:v>2.8911854283095138E-2</c:v>
                </c:pt>
                <c:pt idx="35">
                  <c:v>-5.3606181698391521E-2</c:v>
                </c:pt>
                <c:pt idx="36">
                  <c:v>7.1090952962644532E-2</c:v>
                </c:pt>
                <c:pt idx="37">
                  <c:v>-2.280613104261343E-3</c:v>
                </c:pt>
                <c:pt idx="38">
                  <c:v>3.0107965619260067E-2</c:v>
                </c:pt>
                <c:pt idx="39">
                  <c:v>-6.7115488982958965E-2</c:v>
                </c:pt>
                <c:pt idx="40">
                  <c:v>1.8796139298291457E-2</c:v>
                </c:pt>
                <c:pt idx="41">
                  <c:v>8.8457394016730445E-2</c:v>
                </c:pt>
                <c:pt idx="42">
                  <c:v>1.0964625214274624E-2</c:v>
                </c:pt>
                <c:pt idx="43">
                  <c:v>4.6253760962806277E-2</c:v>
                </c:pt>
                <c:pt idx="44">
                  <c:v>3.0992949327868523E-2</c:v>
                </c:pt>
                <c:pt idx="45">
                  <c:v>-1.5928861213321967E-2</c:v>
                </c:pt>
                <c:pt idx="46">
                  <c:v>-4.0849457742104946E-2</c:v>
                </c:pt>
                <c:pt idx="47">
                  <c:v>1.099971457999812E-2</c:v>
                </c:pt>
                <c:pt idx="48">
                  <c:v>-3.9999265947294894E-2</c:v>
                </c:pt>
                <c:pt idx="49">
                  <c:v>8.8585362136624698E-3</c:v>
                </c:pt>
                <c:pt idx="50">
                  <c:v>3.6942196459266517E-2</c:v>
                </c:pt>
                <c:pt idx="51">
                  <c:v>-8.4713729179482292E-3</c:v>
                </c:pt>
                <c:pt idx="52">
                  <c:v>5.0858337879614655E-2</c:v>
                </c:pt>
                <c:pt idx="53">
                  <c:v>8.3711689954574092E-2</c:v>
                </c:pt>
                <c:pt idx="54">
                  <c:v>-2.8648808768131457E-4</c:v>
                </c:pt>
                <c:pt idx="55">
                  <c:v>7.817533645530092E-2</c:v>
                </c:pt>
                <c:pt idx="56">
                  <c:v>5.7842793056368157E-2</c:v>
                </c:pt>
                <c:pt idx="57">
                  <c:v>-3.7106871421613209E-2</c:v>
                </c:pt>
                <c:pt idx="58">
                  <c:v>-6.2826570792672426E-2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1C-DA49-B2A3-B16BDA065A4C}"/>
            </c:ext>
          </c:extLst>
        </c:ser>
        <c:ser>
          <c:idx val="2"/>
          <c:order val="2"/>
          <c:tx>
            <c:v>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'Data. Securities'!$B$39:$B$97</c:f>
              <c:numCache>
                <c:formatCode>m/d/yy</c:formatCode>
                <c:ptCount val="59"/>
                <c:pt idx="0">
                  <c:v>43983</c:v>
                </c:pt>
                <c:pt idx="1">
                  <c:v>44013</c:v>
                </c:pt>
                <c:pt idx="2">
                  <c:v>44044</c:v>
                </c:pt>
                <c:pt idx="3">
                  <c:v>44075</c:v>
                </c:pt>
                <c:pt idx="4">
                  <c:v>44105</c:v>
                </c:pt>
                <c:pt idx="5">
                  <c:v>44136</c:v>
                </c:pt>
                <c:pt idx="6">
                  <c:v>44166</c:v>
                </c:pt>
                <c:pt idx="7">
                  <c:v>44197</c:v>
                </c:pt>
                <c:pt idx="8">
                  <c:v>44228</c:v>
                </c:pt>
                <c:pt idx="9">
                  <c:v>44256</c:v>
                </c:pt>
                <c:pt idx="10">
                  <c:v>44287</c:v>
                </c:pt>
                <c:pt idx="11">
                  <c:v>44317</c:v>
                </c:pt>
                <c:pt idx="12">
                  <c:v>44348</c:v>
                </c:pt>
                <c:pt idx="13">
                  <c:v>44378</c:v>
                </c:pt>
                <c:pt idx="14">
                  <c:v>44409</c:v>
                </c:pt>
                <c:pt idx="15">
                  <c:v>44440</c:v>
                </c:pt>
                <c:pt idx="16">
                  <c:v>44470</c:v>
                </c:pt>
                <c:pt idx="17">
                  <c:v>44501</c:v>
                </c:pt>
                <c:pt idx="18">
                  <c:v>44531</c:v>
                </c:pt>
                <c:pt idx="19">
                  <c:v>44562</c:v>
                </c:pt>
                <c:pt idx="20">
                  <c:v>44593</c:v>
                </c:pt>
                <c:pt idx="21">
                  <c:v>44621</c:v>
                </c:pt>
                <c:pt idx="22">
                  <c:v>44652</c:v>
                </c:pt>
                <c:pt idx="23">
                  <c:v>44682</c:v>
                </c:pt>
                <c:pt idx="24">
                  <c:v>44713</c:v>
                </c:pt>
                <c:pt idx="25">
                  <c:v>44743</c:v>
                </c:pt>
                <c:pt idx="26">
                  <c:v>44774</c:v>
                </c:pt>
                <c:pt idx="27">
                  <c:v>44805</c:v>
                </c:pt>
                <c:pt idx="28">
                  <c:v>44835</c:v>
                </c:pt>
                <c:pt idx="29">
                  <c:v>44866</c:v>
                </c:pt>
                <c:pt idx="30">
                  <c:v>44896</c:v>
                </c:pt>
                <c:pt idx="31">
                  <c:v>44927</c:v>
                </c:pt>
                <c:pt idx="32">
                  <c:v>44958</c:v>
                </c:pt>
                <c:pt idx="33">
                  <c:v>44986</c:v>
                </c:pt>
                <c:pt idx="34">
                  <c:v>45017</c:v>
                </c:pt>
                <c:pt idx="35">
                  <c:v>45047</c:v>
                </c:pt>
                <c:pt idx="36">
                  <c:v>45078</c:v>
                </c:pt>
                <c:pt idx="37">
                  <c:v>45108</c:v>
                </c:pt>
                <c:pt idx="38">
                  <c:v>45139</c:v>
                </c:pt>
                <c:pt idx="39">
                  <c:v>45170</c:v>
                </c:pt>
                <c:pt idx="40">
                  <c:v>45200</c:v>
                </c:pt>
                <c:pt idx="41">
                  <c:v>45231</c:v>
                </c:pt>
                <c:pt idx="42">
                  <c:v>45261</c:v>
                </c:pt>
                <c:pt idx="43">
                  <c:v>45292</c:v>
                </c:pt>
                <c:pt idx="44">
                  <c:v>45323</c:v>
                </c:pt>
                <c:pt idx="45">
                  <c:v>45352</c:v>
                </c:pt>
                <c:pt idx="46">
                  <c:v>45383</c:v>
                </c:pt>
                <c:pt idx="47">
                  <c:v>45413</c:v>
                </c:pt>
                <c:pt idx="48">
                  <c:v>45444</c:v>
                </c:pt>
                <c:pt idx="49">
                  <c:v>45474</c:v>
                </c:pt>
                <c:pt idx="50">
                  <c:v>45505</c:v>
                </c:pt>
                <c:pt idx="51">
                  <c:v>45536</c:v>
                </c:pt>
                <c:pt idx="52">
                  <c:v>45566</c:v>
                </c:pt>
                <c:pt idx="53">
                  <c:v>45597</c:v>
                </c:pt>
                <c:pt idx="54">
                  <c:v>45627</c:v>
                </c:pt>
                <c:pt idx="55">
                  <c:v>45658</c:v>
                </c:pt>
                <c:pt idx="56">
                  <c:v>45689</c:v>
                </c:pt>
                <c:pt idx="57">
                  <c:v>45717</c:v>
                </c:pt>
                <c:pt idx="58">
                  <c:v>45352</c:v>
                </c:pt>
              </c:numCache>
            </c:numRef>
          </c:cat>
          <c:val>
            <c:numRef>
              <c:f>'Data. Securities'!$M$39:$M$97</c:f>
              <c:numCache>
                <c:formatCode>0.00%</c:formatCode>
                <c:ptCount val="59"/>
                <c:pt idx="0">
                  <c:v>-2.0582161808855894E-2</c:v>
                </c:pt>
                <c:pt idx="1">
                  <c:v>4.0055236162777584E-2</c:v>
                </c:pt>
                <c:pt idx="2">
                  <c:v>0.15762346179193817</c:v>
                </c:pt>
                <c:pt idx="3">
                  <c:v>-5.9225457624910417E-2</c:v>
                </c:pt>
                <c:pt idx="4">
                  <c:v>-0.14979812914609028</c:v>
                </c:pt>
                <c:pt idx="5">
                  <c:v>0.16251339615668878</c:v>
                </c:pt>
                <c:pt idx="6">
                  <c:v>5.7378086832486318E-2</c:v>
                </c:pt>
                <c:pt idx="7">
                  <c:v>-0.11721801983526639</c:v>
                </c:pt>
                <c:pt idx="8">
                  <c:v>0.11541844509785334</c:v>
                </c:pt>
                <c:pt idx="9">
                  <c:v>2.8839903914087074E-3</c:v>
                </c:pt>
                <c:pt idx="10">
                  <c:v>6.9718204372045095E-2</c:v>
                </c:pt>
                <c:pt idx="11">
                  <c:v>-5.9554869217749475E-2</c:v>
                </c:pt>
                <c:pt idx="12">
                  <c:v>9.1742932682528852E-3</c:v>
                </c:pt>
                <c:pt idx="13">
                  <c:v>5.3775872615884644E-2</c:v>
                </c:pt>
                <c:pt idx="14">
                  <c:v>-0.10622497452108262</c:v>
                </c:pt>
                <c:pt idx="15">
                  <c:v>8.5463420269767847E-4</c:v>
                </c:pt>
                <c:pt idx="16">
                  <c:v>-3.8308022702868628E-2</c:v>
                </c:pt>
                <c:pt idx="17">
                  <c:v>-6.4730567477348538E-2</c:v>
                </c:pt>
                <c:pt idx="18">
                  <c:v>0.13765485414285092</c:v>
                </c:pt>
                <c:pt idx="19">
                  <c:v>7.1975583509592184E-2</c:v>
                </c:pt>
                <c:pt idx="20">
                  <c:v>-6.9485825698362619E-2</c:v>
                </c:pt>
                <c:pt idx="21">
                  <c:v>-1.2867172920939342E-2</c:v>
                </c:pt>
                <c:pt idx="22">
                  <c:v>1.3455518868804438E-2</c:v>
                </c:pt>
                <c:pt idx="23">
                  <c:v>-1.849652338231781E-2</c:v>
                </c:pt>
                <c:pt idx="24">
                  <c:v>-0.12178416743510204</c:v>
                </c:pt>
                <c:pt idx="25">
                  <c:v>0.11810067199188543</c:v>
                </c:pt>
                <c:pt idx="26">
                  <c:v>-8.6490008196952989E-2</c:v>
                </c:pt>
                <c:pt idx="27">
                  <c:v>-0.12674178664282568</c:v>
                </c:pt>
                <c:pt idx="28">
                  <c:v>0.1508482802278964</c:v>
                </c:pt>
                <c:pt idx="29">
                  <c:v>8.265606272980261E-2</c:v>
                </c:pt>
                <c:pt idx="30">
                  <c:v>-2.765993265993253E-2</c:v>
                </c:pt>
                <c:pt idx="31">
                  <c:v>6.2436085468610646E-2</c:v>
                </c:pt>
                <c:pt idx="32">
                  <c:v>-4.4644720273430506E-2</c:v>
                </c:pt>
                <c:pt idx="33">
                  <c:v>1.9521236173266919E-2</c:v>
                </c:pt>
                <c:pt idx="34">
                  <c:v>4.2400135751171707E-2</c:v>
                </c:pt>
                <c:pt idx="35">
                  <c:v>-4.2830215158452346E-2</c:v>
                </c:pt>
                <c:pt idx="36">
                  <c:v>7.4141873504648265E-2</c:v>
                </c:pt>
                <c:pt idx="37">
                  <c:v>-8.4159674548703973E-4</c:v>
                </c:pt>
                <c:pt idx="38">
                  <c:v>4.323255892597485E-2</c:v>
                </c:pt>
                <c:pt idx="39">
                  <c:v>-4.3877148765671316E-2</c:v>
                </c:pt>
                <c:pt idx="40">
                  <c:v>-5.2738501174509324E-2</c:v>
                </c:pt>
                <c:pt idx="41">
                  <c:v>9.6254815995748449E-2</c:v>
                </c:pt>
                <c:pt idx="42">
                  <c:v>2.7307267879725115E-2</c:v>
                </c:pt>
                <c:pt idx="43">
                  <c:v>4.9936226583198483E-2</c:v>
                </c:pt>
                <c:pt idx="44">
                  <c:v>5.3497243431352835E-2</c:v>
                </c:pt>
                <c:pt idx="45">
                  <c:v>1.1010756311961099E-2</c:v>
                </c:pt>
                <c:pt idx="46">
                  <c:v>-6.6397893002747926E-2</c:v>
                </c:pt>
                <c:pt idx="47">
                  <c:v>-1.24867021276596E-2</c:v>
                </c:pt>
                <c:pt idx="48">
                  <c:v>-1.6552739690279629E-2</c:v>
                </c:pt>
                <c:pt idx="49">
                  <c:v>4.7781908302354369E-2</c:v>
                </c:pt>
                <c:pt idx="50">
                  <c:v>3.8999158957106893E-2</c:v>
                </c:pt>
                <c:pt idx="51">
                  <c:v>1.8307747479345236E-2</c:v>
                </c:pt>
                <c:pt idx="52">
                  <c:v>8.392061563385976E-3</c:v>
                </c:pt>
                <c:pt idx="53">
                  <c:v>6.342140555255335E-2</c:v>
                </c:pt>
                <c:pt idx="54">
                  <c:v>-1.5285898350033168E-2</c:v>
                </c:pt>
                <c:pt idx="55">
                  <c:v>5.1474194630659907E-2</c:v>
                </c:pt>
                <c:pt idx="56">
                  <c:v>3.4259162570740985E-2</c:v>
                </c:pt>
                <c:pt idx="57">
                  <c:v>-5.2247979964486636E-2</c:v>
                </c:pt>
                <c:pt idx="58">
                  <c:v>-5.9507163881388471E-2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1C-DA49-B2A3-B16BDA065A4C}"/>
            </c:ext>
          </c:extLst>
        </c:ser>
        <c:ser>
          <c:idx val="3"/>
          <c:order val="3"/>
          <c:tx>
            <c:v>TSM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'Data. Securities'!$B$39:$B$97</c:f>
              <c:numCache>
                <c:formatCode>m/d/yy</c:formatCode>
                <c:ptCount val="59"/>
                <c:pt idx="0">
                  <c:v>43983</c:v>
                </c:pt>
                <c:pt idx="1">
                  <c:v>44013</c:v>
                </c:pt>
                <c:pt idx="2">
                  <c:v>44044</c:v>
                </c:pt>
                <c:pt idx="3">
                  <c:v>44075</c:v>
                </c:pt>
                <c:pt idx="4">
                  <c:v>44105</c:v>
                </c:pt>
                <c:pt idx="5">
                  <c:v>44136</c:v>
                </c:pt>
                <c:pt idx="6">
                  <c:v>44166</c:v>
                </c:pt>
                <c:pt idx="7">
                  <c:v>44197</c:v>
                </c:pt>
                <c:pt idx="8">
                  <c:v>44228</c:v>
                </c:pt>
                <c:pt idx="9">
                  <c:v>44256</c:v>
                </c:pt>
                <c:pt idx="10">
                  <c:v>44287</c:v>
                </c:pt>
                <c:pt idx="11">
                  <c:v>44317</c:v>
                </c:pt>
                <c:pt idx="12">
                  <c:v>44348</c:v>
                </c:pt>
                <c:pt idx="13">
                  <c:v>44378</c:v>
                </c:pt>
                <c:pt idx="14">
                  <c:v>44409</c:v>
                </c:pt>
                <c:pt idx="15">
                  <c:v>44440</c:v>
                </c:pt>
                <c:pt idx="16">
                  <c:v>44470</c:v>
                </c:pt>
                <c:pt idx="17">
                  <c:v>44501</c:v>
                </c:pt>
                <c:pt idx="18">
                  <c:v>44531</c:v>
                </c:pt>
                <c:pt idx="19">
                  <c:v>44562</c:v>
                </c:pt>
                <c:pt idx="20">
                  <c:v>44593</c:v>
                </c:pt>
                <c:pt idx="21">
                  <c:v>44621</c:v>
                </c:pt>
                <c:pt idx="22">
                  <c:v>44652</c:v>
                </c:pt>
                <c:pt idx="23">
                  <c:v>44682</c:v>
                </c:pt>
                <c:pt idx="24">
                  <c:v>44713</c:v>
                </c:pt>
                <c:pt idx="25">
                  <c:v>44743</c:v>
                </c:pt>
                <c:pt idx="26">
                  <c:v>44774</c:v>
                </c:pt>
                <c:pt idx="27">
                  <c:v>44805</c:v>
                </c:pt>
                <c:pt idx="28">
                  <c:v>44835</c:v>
                </c:pt>
                <c:pt idx="29">
                  <c:v>44866</c:v>
                </c:pt>
                <c:pt idx="30">
                  <c:v>44896</c:v>
                </c:pt>
                <c:pt idx="31">
                  <c:v>44927</c:v>
                </c:pt>
                <c:pt idx="32">
                  <c:v>44958</c:v>
                </c:pt>
                <c:pt idx="33">
                  <c:v>44986</c:v>
                </c:pt>
                <c:pt idx="34">
                  <c:v>45017</c:v>
                </c:pt>
                <c:pt idx="35">
                  <c:v>45047</c:v>
                </c:pt>
                <c:pt idx="36">
                  <c:v>45078</c:v>
                </c:pt>
                <c:pt idx="37">
                  <c:v>45108</c:v>
                </c:pt>
                <c:pt idx="38">
                  <c:v>45139</c:v>
                </c:pt>
                <c:pt idx="39">
                  <c:v>45170</c:v>
                </c:pt>
                <c:pt idx="40">
                  <c:v>45200</c:v>
                </c:pt>
                <c:pt idx="41">
                  <c:v>45231</c:v>
                </c:pt>
                <c:pt idx="42">
                  <c:v>45261</c:v>
                </c:pt>
                <c:pt idx="43">
                  <c:v>45292</c:v>
                </c:pt>
                <c:pt idx="44">
                  <c:v>45323</c:v>
                </c:pt>
                <c:pt idx="45">
                  <c:v>45352</c:v>
                </c:pt>
                <c:pt idx="46">
                  <c:v>45383</c:v>
                </c:pt>
                <c:pt idx="47">
                  <c:v>45413</c:v>
                </c:pt>
                <c:pt idx="48">
                  <c:v>45444</c:v>
                </c:pt>
                <c:pt idx="49">
                  <c:v>45474</c:v>
                </c:pt>
                <c:pt idx="50">
                  <c:v>45505</c:v>
                </c:pt>
                <c:pt idx="51">
                  <c:v>45536</c:v>
                </c:pt>
                <c:pt idx="52">
                  <c:v>45566</c:v>
                </c:pt>
                <c:pt idx="53">
                  <c:v>45597</c:v>
                </c:pt>
                <c:pt idx="54">
                  <c:v>45627</c:v>
                </c:pt>
                <c:pt idx="55">
                  <c:v>45658</c:v>
                </c:pt>
                <c:pt idx="56">
                  <c:v>45689</c:v>
                </c:pt>
                <c:pt idx="57">
                  <c:v>45717</c:v>
                </c:pt>
                <c:pt idx="58">
                  <c:v>45352</c:v>
                </c:pt>
              </c:numCache>
            </c:numRef>
          </c:cat>
          <c:val>
            <c:numRef>
              <c:f>'Data. Securities'!$R$39:$R$97</c:f>
              <c:numCache>
                <c:formatCode>0.00%</c:formatCode>
                <c:ptCount val="59"/>
                <c:pt idx="0">
                  <c:v>0.12462216040797411</c:v>
                </c:pt>
                <c:pt idx="1">
                  <c:v>0.386309083436087</c:v>
                </c:pt>
                <c:pt idx="2">
                  <c:v>1.2299826763003331E-3</c:v>
                </c:pt>
                <c:pt idx="3">
                  <c:v>1.9631966351209083E-2</c:v>
                </c:pt>
                <c:pt idx="4">
                  <c:v>3.120472020064987E-2</c:v>
                </c:pt>
                <c:pt idx="5">
                  <c:v>0.15345693732363572</c:v>
                </c:pt>
                <c:pt idx="6">
                  <c:v>0.1205586477015049</c:v>
                </c:pt>
                <c:pt idx="7">
                  <c:v>0.11112007825874279</c:v>
                </c:pt>
                <c:pt idx="8">
                  <c:v>3.3039280228220301E-2</c:v>
                </c:pt>
                <c:pt idx="9">
                  <c:v>-6.4155947276480801E-2</c:v>
                </c:pt>
                <c:pt idx="10">
                  <c:v>-1.6353285988051004E-2</c:v>
                </c:pt>
                <c:pt idx="11">
                  <c:v>1.9776140711552305E-3</c:v>
                </c:pt>
                <c:pt idx="12">
                  <c:v>2.0524880708929848E-2</c:v>
                </c:pt>
                <c:pt idx="13">
                  <c:v>-3.2627607634265345E-2</c:v>
                </c:pt>
                <c:pt idx="14">
                  <c:v>1.6985596707819038E-2</c:v>
                </c:pt>
                <c:pt idx="15">
                  <c:v>-6.5176875892782121E-2</c:v>
                </c:pt>
                <c:pt idx="16">
                  <c:v>1.5027616062098868E-2</c:v>
                </c:pt>
                <c:pt idx="17">
                  <c:v>2.7009674582233988E-2</c:v>
                </c:pt>
                <c:pt idx="18">
                  <c:v>2.3640631668800559E-2</c:v>
                </c:pt>
                <c:pt idx="19">
                  <c:v>1.5950184246252684E-2</c:v>
                </c:pt>
                <c:pt idx="20">
                  <c:v>-0.13070836391312615</c:v>
                </c:pt>
                <c:pt idx="21">
                  <c:v>-2.903186618073076E-2</c:v>
                </c:pt>
                <c:pt idx="22">
                  <c:v>-0.11200396444785468</c:v>
                </c:pt>
                <c:pt idx="23">
                  <c:v>2.2169733491158215E-2</c:v>
                </c:pt>
                <c:pt idx="24">
                  <c:v>-0.14551591465547389</c:v>
                </c:pt>
                <c:pt idx="25">
                  <c:v>7.8990825688073446E-2</c:v>
                </c:pt>
                <c:pt idx="26">
                  <c:v>-6.1312537673297286E-2</c:v>
                </c:pt>
                <c:pt idx="27">
                  <c:v>-0.18077784443111369</c:v>
                </c:pt>
                <c:pt idx="28">
                  <c:v>-0.10557954103461689</c:v>
                </c:pt>
                <c:pt idx="29">
                  <c:v>0.34483888437584637</c:v>
                </c:pt>
                <c:pt idx="30">
                  <c:v>-0.10564714389009414</c:v>
                </c:pt>
                <c:pt idx="31">
                  <c:v>0.24153174922808449</c:v>
                </c:pt>
                <c:pt idx="32">
                  <c:v>-6.4370753801358843E-2</c:v>
                </c:pt>
                <c:pt idx="33">
                  <c:v>6.5002488419279553E-2</c:v>
                </c:pt>
                <c:pt idx="34">
                  <c:v>-9.707661434816886E-2</c:v>
                </c:pt>
                <c:pt idx="35">
                  <c:v>0.16618030842230133</c:v>
                </c:pt>
                <c:pt idx="36">
                  <c:v>2.0299895188829208E-2</c:v>
                </c:pt>
                <c:pt idx="37">
                  <c:v>-2.0871977804201282E-2</c:v>
                </c:pt>
                <c:pt idx="38">
                  <c:v>-5.9611699445285028E-2</c:v>
                </c:pt>
                <c:pt idx="39">
                  <c:v>-7.4616864379608711E-2</c:v>
                </c:pt>
                <c:pt idx="40">
                  <c:v>-1.0122746451860433E-2</c:v>
                </c:pt>
                <c:pt idx="41">
                  <c:v>0.12411423936971375</c:v>
                </c:pt>
                <c:pt idx="42">
                  <c:v>6.5416024389408495E-2</c:v>
                </c:pt>
                <c:pt idx="43">
                  <c:v>8.2820512820512698E-2</c:v>
                </c:pt>
                <c:pt idx="44">
                  <c:v>0.13574244570349378</c:v>
                </c:pt>
                <c:pt idx="45">
                  <c:v>5.4022693712598345E-2</c:v>
                </c:pt>
                <c:pt idx="46">
                  <c:v>6.1484748254317587E-3</c:v>
                </c:pt>
                <c:pt idx="47">
                  <c:v>9.6419105868647076E-2</c:v>
                </c:pt>
                <c:pt idx="48">
                  <c:v>0.14742143361581936</c:v>
                </c:pt>
                <c:pt idx="49">
                  <c:v>-4.9418138580442229E-2</c:v>
                </c:pt>
                <c:pt idx="50">
                  <c:v>3.2251708886208062E-2</c:v>
                </c:pt>
                <c:pt idx="51">
                  <c:v>8.1401669578723065E-3</c:v>
                </c:pt>
                <c:pt idx="52">
                  <c:v>9.3804917372027535E-2</c:v>
                </c:pt>
                <c:pt idx="53">
                  <c:v>-3.4192995346558876E-2</c:v>
                </c:pt>
                <c:pt idx="54">
                  <c:v>6.6145709231380273E-2</c:v>
                </c:pt>
                <c:pt idx="55">
                  <c:v>5.6568433844751485E-2</c:v>
                </c:pt>
                <c:pt idx="56">
                  <c:v>-0.14087394101535125</c:v>
                </c:pt>
                <c:pt idx="57">
                  <c:v>-8.3818571243929912E-2</c:v>
                </c:pt>
                <c:pt idx="58">
                  <c:v>-8.9236947791164561E-2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1C-DA49-B2A3-B16BDA065A4C}"/>
            </c:ext>
          </c:extLst>
        </c:ser>
        <c:ser>
          <c:idx val="4"/>
          <c:order val="4"/>
          <c:tx>
            <c:v>GOOGL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'Data. Securities'!$B$39:$B$97</c:f>
              <c:numCache>
                <c:formatCode>m/d/yy</c:formatCode>
                <c:ptCount val="59"/>
                <c:pt idx="0">
                  <c:v>43983</c:v>
                </c:pt>
                <c:pt idx="1">
                  <c:v>44013</c:v>
                </c:pt>
                <c:pt idx="2">
                  <c:v>44044</c:v>
                </c:pt>
                <c:pt idx="3">
                  <c:v>44075</c:v>
                </c:pt>
                <c:pt idx="4">
                  <c:v>44105</c:v>
                </c:pt>
                <c:pt idx="5">
                  <c:v>44136</c:v>
                </c:pt>
                <c:pt idx="6">
                  <c:v>44166</c:v>
                </c:pt>
                <c:pt idx="7">
                  <c:v>44197</c:v>
                </c:pt>
                <c:pt idx="8">
                  <c:v>44228</c:v>
                </c:pt>
                <c:pt idx="9">
                  <c:v>44256</c:v>
                </c:pt>
                <c:pt idx="10">
                  <c:v>44287</c:v>
                </c:pt>
                <c:pt idx="11">
                  <c:v>44317</c:v>
                </c:pt>
                <c:pt idx="12">
                  <c:v>44348</c:v>
                </c:pt>
                <c:pt idx="13">
                  <c:v>44378</c:v>
                </c:pt>
                <c:pt idx="14">
                  <c:v>44409</c:v>
                </c:pt>
                <c:pt idx="15">
                  <c:v>44440</c:v>
                </c:pt>
                <c:pt idx="16">
                  <c:v>44470</c:v>
                </c:pt>
                <c:pt idx="17">
                  <c:v>44501</c:v>
                </c:pt>
                <c:pt idx="18">
                  <c:v>44531</c:v>
                </c:pt>
                <c:pt idx="19">
                  <c:v>44562</c:v>
                </c:pt>
                <c:pt idx="20">
                  <c:v>44593</c:v>
                </c:pt>
                <c:pt idx="21">
                  <c:v>44621</c:v>
                </c:pt>
                <c:pt idx="22">
                  <c:v>44652</c:v>
                </c:pt>
                <c:pt idx="23">
                  <c:v>44682</c:v>
                </c:pt>
                <c:pt idx="24">
                  <c:v>44713</c:v>
                </c:pt>
                <c:pt idx="25">
                  <c:v>44743</c:v>
                </c:pt>
                <c:pt idx="26">
                  <c:v>44774</c:v>
                </c:pt>
                <c:pt idx="27">
                  <c:v>44805</c:v>
                </c:pt>
                <c:pt idx="28">
                  <c:v>44835</c:v>
                </c:pt>
                <c:pt idx="29">
                  <c:v>44866</c:v>
                </c:pt>
                <c:pt idx="30">
                  <c:v>44896</c:v>
                </c:pt>
                <c:pt idx="31">
                  <c:v>44927</c:v>
                </c:pt>
                <c:pt idx="32">
                  <c:v>44958</c:v>
                </c:pt>
                <c:pt idx="33">
                  <c:v>44986</c:v>
                </c:pt>
                <c:pt idx="34">
                  <c:v>45017</c:v>
                </c:pt>
                <c:pt idx="35">
                  <c:v>45047</c:v>
                </c:pt>
                <c:pt idx="36">
                  <c:v>45078</c:v>
                </c:pt>
                <c:pt idx="37">
                  <c:v>45108</c:v>
                </c:pt>
                <c:pt idx="38">
                  <c:v>45139</c:v>
                </c:pt>
                <c:pt idx="39">
                  <c:v>45170</c:v>
                </c:pt>
                <c:pt idx="40">
                  <c:v>45200</c:v>
                </c:pt>
                <c:pt idx="41">
                  <c:v>45231</c:v>
                </c:pt>
                <c:pt idx="42">
                  <c:v>45261</c:v>
                </c:pt>
                <c:pt idx="43">
                  <c:v>45292</c:v>
                </c:pt>
                <c:pt idx="44">
                  <c:v>45323</c:v>
                </c:pt>
                <c:pt idx="45">
                  <c:v>45352</c:v>
                </c:pt>
                <c:pt idx="46">
                  <c:v>45383</c:v>
                </c:pt>
                <c:pt idx="47">
                  <c:v>45413</c:v>
                </c:pt>
                <c:pt idx="48">
                  <c:v>45444</c:v>
                </c:pt>
                <c:pt idx="49">
                  <c:v>45474</c:v>
                </c:pt>
                <c:pt idx="50">
                  <c:v>45505</c:v>
                </c:pt>
                <c:pt idx="51">
                  <c:v>45536</c:v>
                </c:pt>
                <c:pt idx="52">
                  <c:v>45566</c:v>
                </c:pt>
                <c:pt idx="53">
                  <c:v>45597</c:v>
                </c:pt>
                <c:pt idx="54">
                  <c:v>45627</c:v>
                </c:pt>
                <c:pt idx="55">
                  <c:v>45658</c:v>
                </c:pt>
                <c:pt idx="56">
                  <c:v>45689</c:v>
                </c:pt>
                <c:pt idx="57">
                  <c:v>45717</c:v>
                </c:pt>
                <c:pt idx="58">
                  <c:v>45352</c:v>
                </c:pt>
              </c:numCache>
            </c:numRef>
          </c:cat>
          <c:val>
            <c:numRef>
              <c:f>'Data. Securities'!$W$39:$W$97</c:f>
              <c:numCache>
                <c:formatCode>0.00%</c:formatCode>
                <c:ptCount val="59"/>
                <c:pt idx="0">
                  <c:v>-1.4215029761904731E-2</c:v>
                </c:pt>
                <c:pt idx="1">
                  <c:v>4.6031969910672231E-2</c:v>
                </c:pt>
                <c:pt idx="2">
                  <c:v>9.1827956989247367E-2</c:v>
                </c:pt>
                <c:pt idx="3">
                  <c:v>-0.10397152675503188</c:v>
                </c:pt>
                <c:pt idx="4">
                  <c:v>9.9423216885007187E-2</c:v>
                </c:pt>
                <c:pt idx="5">
                  <c:v>8.2175885822711597E-2</c:v>
                </c:pt>
                <c:pt idx="6">
                  <c:v>-4.3593251253990842E-3</c:v>
                </c:pt>
                <c:pt idx="7">
                  <c:v>3.9346114344402792E-2</c:v>
                </c:pt>
                <c:pt idx="8">
                  <c:v>0.10315676188391518</c:v>
                </c:pt>
                <c:pt idx="9">
                  <c:v>1.6745796241345166E-2</c:v>
                </c:pt>
                <c:pt idx="10">
                  <c:v>0.13775073531788359</c:v>
                </c:pt>
                <c:pt idx="11">
                  <c:v>-1.973714026739216E-3</c:v>
                </c:pt>
                <c:pt idx="12">
                  <c:v>3.273251866938217E-2</c:v>
                </c:pt>
                <c:pt idx="13">
                  <c:v>0.10019684931880843</c:v>
                </c:pt>
                <c:pt idx="14">
                  <c:v>7.0666518221628477E-2</c:v>
                </c:pt>
                <c:pt idx="15">
                  <c:v>-7.9490900714121043E-2</c:v>
                </c:pt>
                <c:pt idx="16">
                  <c:v>0.10416217833632566</c:v>
                </c:pt>
                <c:pt idx="17">
                  <c:v>-4.4873353596757849E-2</c:v>
                </c:pt>
                <c:pt idx="18">
                  <c:v>1.7455954897815339E-2</c:v>
                </c:pt>
                <c:pt idx="19">
                  <c:v>-6.9263606029225461E-2</c:v>
                </c:pt>
                <c:pt idx="20">
                  <c:v>-5.1071692535107696E-3</c:v>
                </c:pt>
                <c:pt idx="21">
                  <c:v>2.6357174589071462E-2</c:v>
                </c:pt>
                <c:pt idx="22">
                  <c:v>-0.18281129407252941</c:v>
                </c:pt>
                <c:pt idx="23">
                  <c:v>-6.400549177693983E-3</c:v>
                </c:pt>
                <c:pt idx="24">
                  <c:v>-4.5527426160337704E-2</c:v>
                </c:pt>
                <c:pt idx="25">
                  <c:v>6.4214390602055887E-2</c:v>
                </c:pt>
                <c:pt idx="26">
                  <c:v>-7.2968821641448828E-2</c:v>
                </c:pt>
                <c:pt idx="27">
                  <c:v>-0.11948561572106201</c:v>
                </c:pt>
                <c:pt idx="28">
                  <c:v>-1.5251786025440008E-2</c:v>
                </c:pt>
                <c:pt idx="29">
                  <c:v>6.5230839770041932E-2</c:v>
                </c:pt>
                <c:pt idx="30">
                  <c:v>-0.12968247681288572</c:v>
                </c:pt>
                <c:pt idx="31">
                  <c:v>0.11692054856624731</c:v>
                </c:pt>
                <c:pt idx="32">
                  <c:v>-9.2163766356400917E-2</c:v>
                </c:pt>
                <c:pt idx="33">
                  <c:v>0.14845436375749496</c:v>
                </c:pt>
                <c:pt idx="34">
                  <c:v>3.1468556187538153E-2</c:v>
                </c:pt>
                <c:pt idx="35">
                  <c:v>0.1413471212968139</c:v>
                </c:pt>
                <c:pt idx="36">
                  <c:v>-2.9132958953907918E-2</c:v>
                </c:pt>
                <c:pt idx="37">
                  <c:v>0.10543859649122797</c:v>
                </c:pt>
                <c:pt idx="38">
                  <c:v>2.2661241711874634E-2</c:v>
                </c:pt>
                <c:pt idx="39">
                  <c:v>-4.2328706763604153E-2</c:v>
                </c:pt>
                <c:pt idx="40">
                  <c:v>-5.5144429160935461E-2</c:v>
                </c:pt>
                <c:pt idx="41">
                  <c:v>6.4767891682785267E-2</c:v>
                </c:pt>
                <c:pt idx="42">
                  <c:v>5.069217032621539E-2</c:v>
                </c:pt>
                <c:pt idx="43">
                  <c:v>-3.9826282005398601E-4</c:v>
                </c:pt>
                <c:pt idx="44">
                  <c:v>-1.5039257673090591E-2</c:v>
                </c:pt>
                <c:pt idx="45">
                  <c:v>8.6728778467908801E-2</c:v>
                </c:pt>
                <c:pt idx="46">
                  <c:v>7.5179884714768302E-2</c:v>
                </c:pt>
                <c:pt idx="47">
                  <c:v>5.6379162059220965E-2</c:v>
                </c:pt>
                <c:pt idx="48">
                  <c:v>5.260869565217393E-2</c:v>
                </c:pt>
                <c:pt idx="49">
                  <c:v>-6.158202946289696E-2</c:v>
                </c:pt>
                <c:pt idx="50">
                  <c:v>-5.0902413431269701E-2</c:v>
                </c:pt>
                <c:pt idx="51">
                  <c:v>1.1784796180683031E-2</c:v>
                </c:pt>
                <c:pt idx="52">
                  <c:v>2.838207215355245E-2</c:v>
                </c:pt>
                <c:pt idx="53">
                  <c:v>-1.5956791927220472E-2</c:v>
                </c:pt>
                <c:pt idx="54">
                  <c:v>0.11711650389661651</c:v>
                </c:pt>
                <c:pt idx="55">
                  <c:v>7.4426835710512312E-2</c:v>
                </c:pt>
                <c:pt idx="56">
                  <c:v>-0.16870927686828088</c:v>
                </c:pt>
                <c:pt idx="57">
                  <c:v>-9.5182053089029967E-2</c:v>
                </c:pt>
                <c:pt idx="58">
                  <c:v>-2.583721331264003E-2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1C-DA49-B2A3-B16BDA065A4C}"/>
            </c:ext>
          </c:extLst>
        </c:ser>
        <c:ser>
          <c:idx val="5"/>
          <c:order val="5"/>
          <c:tx>
            <c:v>NVDA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'Data. Securities'!$B$39:$B$97</c:f>
              <c:numCache>
                <c:formatCode>m/d/yy</c:formatCode>
                <c:ptCount val="59"/>
                <c:pt idx="0">
                  <c:v>43983</c:v>
                </c:pt>
                <c:pt idx="1">
                  <c:v>44013</c:v>
                </c:pt>
                <c:pt idx="2">
                  <c:v>44044</c:v>
                </c:pt>
                <c:pt idx="3">
                  <c:v>44075</c:v>
                </c:pt>
                <c:pt idx="4">
                  <c:v>44105</c:v>
                </c:pt>
                <c:pt idx="5">
                  <c:v>44136</c:v>
                </c:pt>
                <c:pt idx="6">
                  <c:v>44166</c:v>
                </c:pt>
                <c:pt idx="7">
                  <c:v>44197</c:v>
                </c:pt>
                <c:pt idx="8">
                  <c:v>44228</c:v>
                </c:pt>
                <c:pt idx="9">
                  <c:v>44256</c:v>
                </c:pt>
                <c:pt idx="10">
                  <c:v>44287</c:v>
                </c:pt>
                <c:pt idx="11">
                  <c:v>44317</c:v>
                </c:pt>
                <c:pt idx="12">
                  <c:v>44348</c:v>
                </c:pt>
                <c:pt idx="13">
                  <c:v>44378</c:v>
                </c:pt>
                <c:pt idx="14">
                  <c:v>44409</c:v>
                </c:pt>
                <c:pt idx="15">
                  <c:v>44440</c:v>
                </c:pt>
                <c:pt idx="16">
                  <c:v>44470</c:v>
                </c:pt>
                <c:pt idx="17">
                  <c:v>44501</c:v>
                </c:pt>
                <c:pt idx="18">
                  <c:v>44531</c:v>
                </c:pt>
                <c:pt idx="19">
                  <c:v>44562</c:v>
                </c:pt>
                <c:pt idx="20">
                  <c:v>44593</c:v>
                </c:pt>
                <c:pt idx="21">
                  <c:v>44621</c:v>
                </c:pt>
                <c:pt idx="22">
                  <c:v>44652</c:v>
                </c:pt>
                <c:pt idx="23">
                  <c:v>44682</c:v>
                </c:pt>
                <c:pt idx="24">
                  <c:v>44713</c:v>
                </c:pt>
                <c:pt idx="25">
                  <c:v>44743</c:v>
                </c:pt>
                <c:pt idx="26">
                  <c:v>44774</c:v>
                </c:pt>
                <c:pt idx="27">
                  <c:v>44805</c:v>
                </c:pt>
                <c:pt idx="28">
                  <c:v>44835</c:v>
                </c:pt>
                <c:pt idx="29">
                  <c:v>44866</c:v>
                </c:pt>
                <c:pt idx="30">
                  <c:v>44896</c:v>
                </c:pt>
                <c:pt idx="31">
                  <c:v>44927</c:v>
                </c:pt>
                <c:pt idx="32">
                  <c:v>44958</c:v>
                </c:pt>
                <c:pt idx="33">
                  <c:v>44986</c:v>
                </c:pt>
                <c:pt idx="34">
                  <c:v>45017</c:v>
                </c:pt>
                <c:pt idx="35">
                  <c:v>45047</c:v>
                </c:pt>
                <c:pt idx="36">
                  <c:v>45078</c:v>
                </c:pt>
                <c:pt idx="37">
                  <c:v>45108</c:v>
                </c:pt>
                <c:pt idx="38">
                  <c:v>45139</c:v>
                </c:pt>
                <c:pt idx="39">
                  <c:v>45170</c:v>
                </c:pt>
                <c:pt idx="40">
                  <c:v>45200</c:v>
                </c:pt>
                <c:pt idx="41">
                  <c:v>45231</c:v>
                </c:pt>
                <c:pt idx="42">
                  <c:v>45261</c:v>
                </c:pt>
                <c:pt idx="43">
                  <c:v>45292</c:v>
                </c:pt>
                <c:pt idx="44">
                  <c:v>45323</c:v>
                </c:pt>
                <c:pt idx="45">
                  <c:v>45352</c:v>
                </c:pt>
                <c:pt idx="46">
                  <c:v>45383</c:v>
                </c:pt>
                <c:pt idx="47">
                  <c:v>45413</c:v>
                </c:pt>
                <c:pt idx="48">
                  <c:v>45444</c:v>
                </c:pt>
                <c:pt idx="49">
                  <c:v>45474</c:v>
                </c:pt>
                <c:pt idx="50">
                  <c:v>45505</c:v>
                </c:pt>
                <c:pt idx="51">
                  <c:v>45536</c:v>
                </c:pt>
                <c:pt idx="52">
                  <c:v>45566</c:v>
                </c:pt>
                <c:pt idx="53">
                  <c:v>45597</c:v>
                </c:pt>
                <c:pt idx="54">
                  <c:v>45627</c:v>
                </c:pt>
                <c:pt idx="55">
                  <c:v>45658</c:v>
                </c:pt>
                <c:pt idx="56">
                  <c:v>45689</c:v>
                </c:pt>
                <c:pt idx="57">
                  <c:v>45717</c:v>
                </c:pt>
                <c:pt idx="58">
                  <c:v>45352</c:v>
                </c:pt>
              </c:numCache>
            </c:numRef>
          </c:cat>
          <c:val>
            <c:numRef>
              <c:f>'Data. Securities'!$AB$39:$AB$96</c:f>
              <c:numCache>
                <c:formatCode>0.00%</c:formatCode>
                <c:ptCount val="58"/>
                <c:pt idx="0">
                  <c:v>6.6486486486486335E-2</c:v>
                </c:pt>
                <c:pt idx="1">
                  <c:v>0.11350877192982453</c:v>
                </c:pt>
                <c:pt idx="2">
                  <c:v>0.25679861765629913</c:v>
                </c:pt>
                <c:pt idx="3">
                  <c:v>8.6337571677886568E-3</c:v>
                </c:pt>
                <c:pt idx="4">
                  <c:v>-7.7243163340724369E-2</c:v>
                </c:pt>
                <c:pt idx="5">
                  <c:v>6.6100026602820078E-2</c:v>
                </c:pt>
                <c:pt idx="6">
                  <c:v>-2.8706467661691527E-2</c:v>
                </c:pt>
                <c:pt idx="7">
                  <c:v>-8.6932108218478535E-3</c:v>
                </c:pt>
                <c:pt idx="8">
                  <c:v>5.2093918398768389E-2</c:v>
                </c:pt>
                <c:pt idx="9">
                  <c:v>-2.9591539022611281E-2</c:v>
                </c:pt>
                <c:pt idx="10">
                  <c:v>0.12101123595505622</c:v>
                </c:pt>
                <c:pt idx="11">
                  <c:v>7.8612036420164205E-2</c:v>
                </c:pt>
                <c:pt idx="12">
                  <c:v>0.22819376026272584</c:v>
                </c:pt>
                <c:pt idx="13">
                  <c:v>-2.8333333333333356E-2</c:v>
                </c:pt>
                <c:pt idx="14">
                  <c:v>0.14487179487179488</c:v>
                </c:pt>
                <c:pt idx="15">
                  <c:v>-7.7920202471341488E-2</c:v>
                </c:pt>
                <c:pt idx="16">
                  <c:v>0.23074002574002592</c:v>
                </c:pt>
                <c:pt idx="17">
                  <c:v>0.27472689349498097</c:v>
                </c:pt>
                <c:pt idx="18">
                  <c:v>-0.10339453284373726</c:v>
                </c:pt>
                <c:pt idx="19">
                  <c:v>-0.17062337073557757</c:v>
                </c:pt>
                <c:pt idx="20">
                  <c:v>-7.416632639172395E-3</c:v>
                </c:pt>
                <c:pt idx="21">
                  <c:v>0.11556785567855674</c:v>
                </c:pt>
                <c:pt idx="22">
                  <c:v>-0.32359716623915963</c:v>
                </c:pt>
                <c:pt idx="23">
                  <c:v>3.1356693620846134E-3</c:v>
                </c:pt>
                <c:pt idx="24">
                  <c:v>-0.19133547580789148</c:v>
                </c:pt>
                <c:pt idx="25">
                  <c:v>0.19455584872471418</c:v>
                </c:pt>
                <c:pt idx="26">
                  <c:v>-0.17238619676945668</c:v>
                </c:pt>
                <c:pt idx="27">
                  <c:v>-0.19882703777335978</c:v>
                </c:pt>
                <c:pt idx="28">
                  <c:v>0.10869302580999438</c:v>
                </c:pt>
                <c:pt idx="29">
                  <c:v>0.25000000000000006</c:v>
                </c:pt>
                <c:pt idx="30">
                  <c:v>-0.13985815602836896</c:v>
                </c:pt>
                <c:pt idx="31">
                  <c:v>0.33410677618069823</c:v>
                </c:pt>
                <c:pt idx="32">
                  <c:v>0.1849982940975777</c:v>
                </c:pt>
                <c:pt idx="33">
                  <c:v>0.19304909560723535</c:v>
                </c:pt>
                <c:pt idx="34">
                  <c:v>-4.4132469402448429E-3</c:v>
                </c:pt>
                <c:pt idx="35">
                  <c:v>0.35990990990990973</c:v>
                </c:pt>
                <c:pt idx="36">
                  <c:v>0.11482685699180548</c:v>
                </c:pt>
                <c:pt idx="37">
                  <c:v>0.10139479905437362</c:v>
                </c:pt>
                <c:pt idx="38">
                  <c:v>5.273343319780318E-2</c:v>
                </c:pt>
                <c:pt idx="39">
                  <c:v>-0.12187436676798383</c:v>
                </c:pt>
                <c:pt idx="40">
                  <c:v>-6.586206896551719E-2</c:v>
                </c:pt>
                <c:pt idx="41">
                  <c:v>0.14355239496485214</c:v>
                </c:pt>
                <c:pt idx="42">
                  <c:v>5.5465041693393134E-2</c:v>
                </c:pt>
                <c:pt idx="43">
                  <c:v>0.23919493807215927</c:v>
                </c:pt>
                <c:pt idx="44">
                  <c:v>0.28238095238095223</c:v>
                </c:pt>
                <c:pt idx="45">
                  <c:v>0.13887372013651875</c:v>
                </c:pt>
                <c:pt idx="46">
                  <c:v>-4.7158034528552419E-2</c:v>
                </c:pt>
                <c:pt idx="47">
                  <c:v>0.2655324074074073</c:v>
                </c:pt>
                <c:pt idx="48">
                  <c:v>0.12354799477028808</c:v>
                </c:pt>
                <c:pt idx="49">
                  <c:v>-5.6109762020398336E-2</c:v>
                </c:pt>
                <c:pt idx="50">
                  <c:v>1.6748703925255036E-2</c:v>
                </c:pt>
                <c:pt idx="51">
                  <c:v>1.4007707129094348E-2</c:v>
                </c:pt>
                <c:pt idx="52">
                  <c:v>8.9881422924901061E-2</c:v>
                </c:pt>
                <c:pt idx="53">
                  <c:v>3.8019483780255069E-2</c:v>
                </c:pt>
                <c:pt idx="54">
                  <c:v>-3.1977094635322535E-2</c:v>
                </c:pt>
                <c:pt idx="55">
                  <c:v>-0.10922357087894355</c:v>
                </c:pt>
                <c:pt idx="56">
                  <c:v>3.7059770689320169E-2</c:v>
                </c:pt>
                <c:pt idx="57">
                  <c:v>-0.13573807236631444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1C-DA49-B2A3-B16BDA065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793839"/>
        <c:axId val="1322407279"/>
      </c:lineChart>
      <c:dateAx>
        <c:axId val="27579383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407279"/>
        <c:crossesAt val="-0.9"/>
        <c:auto val="1"/>
        <c:lblOffset val="100"/>
        <c:baseTimeUnit val="months"/>
      </c:dateAx>
      <c:valAx>
        <c:axId val="1322407279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9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Benchmark</a:t>
            </a:r>
            <a:r>
              <a:rPr lang="en-US" b="1" baseline="0"/>
              <a:t> Excess Return vs. Active Pf Excess Return. </a:t>
            </a:r>
            <a:br>
              <a:rPr lang="en-US" b="1" baseline="0"/>
            </a:br>
            <a:r>
              <a:rPr lang="en-US" b="1" baseline="0"/>
              <a:t>59 months Back Data Tracking (2019 -2024)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'Data. Securities'!$E$37</c:f>
              <c:strCache>
                <c:ptCount val="1"/>
                <c:pt idx="0">
                  <c:v>Benchmark
 Exces 
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'Data. Securities'!$B$39:$B$97</c:f>
              <c:numCache>
                <c:formatCode>m/d/yy</c:formatCode>
                <c:ptCount val="59"/>
                <c:pt idx="0">
                  <c:v>43983</c:v>
                </c:pt>
                <c:pt idx="1">
                  <c:v>44013</c:v>
                </c:pt>
                <c:pt idx="2">
                  <c:v>44044</c:v>
                </c:pt>
                <c:pt idx="3">
                  <c:v>44075</c:v>
                </c:pt>
                <c:pt idx="4">
                  <c:v>44105</c:v>
                </c:pt>
                <c:pt idx="5">
                  <c:v>44136</c:v>
                </c:pt>
                <c:pt idx="6">
                  <c:v>44166</c:v>
                </c:pt>
                <c:pt idx="7">
                  <c:v>44197</c:v>
                </c:pt>
                <c:pt idx="8">
                  <c:v>44228</c:v>
                </c:pt>
                <c:pt idx="9">
                  <c:v>44256</c:v>
                </c:pt>
                <c:pt idx="10">
                  <c:v>44287</c:v>
                </c:pt>
                <c:pt idx="11">
                  <c:v>44317</c:v>
                </c:pt>
                <c:pt idx="12">
                  <c:v>44348</c:v>
                </c:pt>
                <c:pt idx="13">
                  <c:v>44378</c:v>
                </c:pt>
                <c:pt idx="14">
                  <c:v>44409</c:v>
                </c:pt>
                <c:pt idx="15">
                  <c:v>44440</c:v>
                </c:pt>
                <c:pt idx="16">
                  <c:v>44470</c:v>
                </c:pt>
                <c:pt idx="17">
                  <c:v>44501</c:v>
                </c:pt>
                <c:pt idx="18">
                  <c:v>44531</c:v>
                </c:pt>
                <c:pt idx="19">
                  <c:v>44562</c:v>
                </c:pt>
                <c:pt idx="20">
                  <c:v>44593</c:v>
                </c:pt>
                <c:pt idx="21">
                  <c:v>44621</c:v>
                </c:pt>
                <c:pt idx="22">
                  <c:v>44652</c:v>
                </c:pt>
                <c:pt idx="23">
                  <c:v>44682</c:v>
                </c:pt>
                <c:pt idx="24">
                  <c:v>44713</c:v>
                </c:pt>
                <c:pt idx="25">
                  <c:v>44743</c:v>
                </c:pt>
                <c:pt idx="26">
                  <c:v>44774</c:v>
                </c:pt>
                <c:pt idx="27">
                  <c:v>44805</c:v>
                </c:pt>
                <c:pt idx="28">
                  <c:v>44835</c:v>
                </c:pt>
                <c:pt idx="29">
                  <c:v>44866</c:v>
                </c:pt>
                <c:pt idx="30">
                  <c:v>44896</c:v>
                </c:pt>
                <c:pt idx="31">
                  <c:v>44927</c:v>
                </c:pt>
                <c:pt idx="32">
                  <c:v>44958</c:v>
                </c:pt>
                <c:pt idx="33">
                  <c:v>44986</c:v>
                </c:pt>
                <c:pt idx="34">
                  <c:v>45017</c:v>
                </c:pt>
                <c:pt idx="35">
                  <c:v>45047</c:v>
                </c:pt>
                <c:pt idx="36">
                  <c:v>45078</c:v>
                </c:pt>
                <c:pt idx="37">
                  <c:v>45108</c:v>
                </c:pt>
                <c:pt idx="38">
                  <c:v>45139</c:v>
                </c:pt>
                <c:pt idx="39">
                  <c:v>45170</c:v>
                </c:pt>
                <c:pt idx="40">
                  <c:v>45200</c:v>
                </c:pt>
                <c:pt idx="41">
                  <c:v>45231</c:v>
                </c:pt>
                <c:pt idx="42">
                  <c:v>45261</c:v>
                </c:pt>
                <c:pt idx="43">
                  <c:v>45292</c:v>
                </c:pt>
                <c:pt idx="44">
                  <c:v>45323</c:v>
                </c:pt>
                <c:pt idx="45">
                  <c:v>45352</c:v>
                </c:pt>
                <c:pt idx="46">
                  <c:v>45383</c:v>
                </c:pt>
                <c:pt idx="47">
                  <c:v>45413</c:v>
                </c:pt>
                <c:pt idx="48">
                  <c:v>45444</c:v>
                </c:pt>
                <c:pt idx="49">
                  <c:v>45474</c:v>
                </c:pt>
                <c:pt idx="50">
                  <c:v>45505</c:v>
                </c:pt>
                <c:pt idx="51">
                  <c:v>45536</c:v>
                </c:pt>
                <c:pt idx="52">
                  <c:v>45566</c:v>
                </c:pt>
                <c:pt idx="53">
                  <c:v>45597</c:v>
                </c:pt>
                <c:pt idx="54">
                  <c:v>45627</c:v>
                </c:pt>
                <c:pt idx="55">
                  <c:v>45658</c:v>
                </c:pt>
                <c:pt idx="56">
                  <c:v>45689</c:v>
                </c:pt>
                <c:pt idx="57">
                  <c:v>45717</c:v>
                </c:pt>
                <c:pt idx="58">
                  <c:v>45352</c:v>
                </c:pt>
              </c:numCache>
            </c:numRef>
          </c:cat>
          <c:val>
            <c:numRef>
              <c:f>'Data. Securities'!$E$39:$E$97</c:f>
              <c:numCache>
                <c:formatCode>0.00%</c:formatCode>
                <c:ptCount val="59"/>
                <c:pt idx="0">
                  <c:v>5.7676784999714036E-2</c:v>
                </c:pt>
                <c:pt idx="1">
                  <c:v>7.0130116781832091E-2</c:v>
                </c:pt>
                <c:pt idx="2">
                  <c:v>0.10613401091661986</c:v>
                </c:pt>
                <c:pt idx="3">
                  <c:v>-6.1148961196123043E-2</c:v>
                </c:pt>
                <c:pt idx="4">
                  <c:v>-3.3762949091913054E-2</c:v>
                </c:pt>
                <c:pt idx="5">
                  <c:v>0.10890853265983255</c:v>
                </c:pt>
                <c:pt idx="6">
                  <c:v>4.3818206104321154E-2</c:v>
                </c:pt>
                <c:pt idx="7">
                  <c:v>-7.5026043327600751E-4</c:v>
                </c:pt>
                <c:pt idx="8">
                  <c:v>-4.6374460595649883E-3</c:v>
                </c:pt>
                <c:pt idx="9">
                  <c:v>1.25275495254474E-2</c:v>
                </c:pt>
                <c:pt idx="10">
                  <c:v>5.5764986205166865E-2</c:v>
                </c:pt>
                <c:pt idx="11">
                  <c:v>-1.5322321225935721E-2</c:v>
                </c:pt>
                <c:pt idx="12">
                  <c:v>5.8028124001278401E-2</c:v>
                </c:pt>
                <c:pt idx="13">
                  <c:v>2.5291327913279003E-2</c:v>
                </c:pt>
                <c:pt idx="14">
                  <c:v>3.8847906032164335E-2</c:v>
                </c:pt>
                <c:pt idx="15">
                  <c:v>-6.1213517665130647E-2</c:v>
                </c:pt>
                <c:pt idx="16">
                  <c:v>7.5320550446748985E-2</c:v>
                </c:pt>
                <c:pt idx="17">
                  <c:v>1.6619505411451595E-2</c:v>
                </c:pt>
                <c:pt idx="18">
                  <c:v>6.905227678836022E-3</c:v>
                </c:pt>
                <c:pt idx="19">
                  <c:v>-9.0799383026523045E-2</c:v>
                </c:pt>
                <c:pt idx="20">
                  <c:v>-4.8088886439214419E-2</c:v>
                </c:pt>
                <c:pt idx="21">
                  <c:v>4.2047775662108343E-2</c:v>
                </c:pt>
                <c:pt idx="22">
                  <c:v>-0.1392792419851894</c:v>
                </c:pt>
                <c:pt idx="23">
                  <c:v>-1.9207363165011072E-2</c:v>
                </c:pt>
                <c:pt idx="24">
                  <c:v>-9.4174564022675128E-2</c:v>
                </c:pt>
                <c:pt idx="25">
                  <c:v>0.12217982127345647</c:v>
                </c:pt>
                <c:pt idx="26">
                  <c:v>-5.4651167708036054E-2</c:v>
                </c:pt>
                <c:pt idx="27">
                  <c:v>-0.11028395350651379</c:v>
                </c:pt>
                <c:pt idx="28">
                  <c:v>3.6648697214734925E-2</c:v>
                </c:pt>
                <c:pt idx="29">
                  <c:v>5.2138228941684593E-2</c:v>
                </c:pt>
                <c:pt idx="30">
                  <c:v>-9.5656241828950744E-2</c:v>
                </c:pt>
                <c:pt idx="31">
                  <c:v>0.10307682673279736</c:v>
                </c:pt>
                <c:pt idx="32">
                  <c:v>-6.8991826846881779E-3</c:v>
                </c:pt>
                <c:pt idx="33">
                  <c:v>8.9880940208808852E-2</c:v>
                </c:pt>
                <c:pt idx="34">
                  <c:v>1.7483476742735306E-3</c:v>
                </c:pt>
                <c:pt idx="35">
                  <c:v>7.5515266188984492E-2</c:v>
                </c:pt>
                <c:pt idx="36">
                  <c:v>5.8252014989026511E-2</c:v>
                </c:pt>
                <c:pt idx="37">
                  <c:v>3.5260497070480033E-2</c:v>
                </c:pt>
                <c:pt idx="38">
                  <c:v>-1.8171134522443601E-2</c:v>
                </c:pt>
                <c:pt idx="39">
                  <c:v>-5.5505174832579031E-2</c:v>
                </c:pt>
                <c:pt idx="40">
                  <c:v>-2.3971179624664808E-2</c:v>
                </c:pt>
                <c:pt idx="41">
                  <c:v>0.10485338428051358</c:v>
                </c:pt>
                <c:pt idx="42">
                  <c:v>5.041959361517797E-2</c:v>
                </c:pt>
                <c:pt idx="43">
                  <c:v>1.4858696359966249E-2</c:v>
                </c:pt>
                <c:pt idx="44">
                  <c:v>4.9500203851596002E-2</c:v>
                </c:pt>
                <c:pt idx="45">
                  <c:v>8.0789673500379564E-3</c:v>
                </c:pt>
                <c:pt idx="46">
                  <c:v>-4.7071086987530299E-2</c:v>
                </c:pt>
                <c:pt idx="47">
                  <c:v>5.8184837137002697E-2</c:v>
                </c:pt>
                <c:pt idx="48">
                  <c:v>5.9678359329354468E-2</c:v>
                </c:pt>
                <c:pt idx="49">
                  <c:v>-2.0114448317366231E-2</c:v>
                </c:pt>
                <c:pt idx="50">
                  <c:v>7.7053657984305843E-3</c:v>
                </c:pt>
                <c:pt idx="51">
                  <c:v>2.1442529097640627E-2</c:v>
                </c:pt>
                <c:pt idx="52">
                  <c:v>-1.1979634068883506E-2</c:v>
                </c:pt>
                <c:pt idx="53">
                  <c:v>5.0174985360476786E-2</c:v>
                </c:pt>
                <c:pt idx="54">
                  <c:v>-4.1027451903589236E-4</c:v>
                </c:pt>
                <c:pt idx="55">
                  <c:v>1.8300764822095715E-2</c:v>
                </c:pt>
                <c:pt idx="56">
                  <c:v>-3.0368122435173207E-2</c:v>
                </c:pt>
                <c:pt idx="57">
                  <c:v>-8.0571265521380636E-2</c:v>
                </c:pt>
                <c:pt idx="58">
                  <c:v>-5.6263470670192474E-2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C-C746-BC9D-8A3CDEEBFD1A}"/>
            </c:ext>
          </c:extLst>
        </c:ser>
        <c:ser>
          <c:idx val="1"/>
          <c:order val="1"/>
          <c:tx>
            <c:strRef>
              <c:f>'Data. Securities'!$AF$37</c:f>
              <c:strCache>
                <c:ptCount val="1"/>
                <c:pt idx="0">
                  <c:v>Active Pf Exces 
return 
(Back data)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'Data. Securities'!$B$39:$B$97</c:f>
              <c:numCache>
                <c:formatCode>m/d/yy</c:formatCode>
                <c:ptCount val="59"/>
                <c:pt idx="0">
                  <c:v>43983</c:v>
                </c:pt>
                <c:pt idx="1">
                  <c:v>44013</c:v>
                </c:pt>
                <c:pt idx="2">
                  <c:v>44044</c:v>
                </c:pt>
                <c:pt idx="3">
                  <c:v>44075</c:v>
                </c:pt>
                <c:pt idx="4">
                  <c:v>44105</c:v>
                </c:pt>
                <c:pt idx="5">
                  <c:v>44136</c:v>
                </c:pt>
                <c:pt idx="6">
                  <c:v>44166</c:v>
                </c:pt>
                <c:pt idx="7">
                  <c:v>44197</c:v>
                </c:pt>
                <c:pt idx="8">
                  <c:v>44228</c:v>
                </c:pt>
                <c:pt idx="9">
                  <c:v>44256</c:v>
                </c:pt>
                <c:pt idx="10">
                  <c:v>44287</c:v>
                </c:pt>
                <c:pt idx="11">
                  <c:v>44317</c:v>
                </c:pt>
                <c:pt idx="12">
                  <c:v>44348</c:v>
                </c:pt>
                <c:pt idx="13">
                  <c:v>44378</c:v>
                </c:pt>
                <c:pt idx="14">
                  <c:v>44409</c:v>
                </c:pt>
                <c:pt idx="15">
                  <c:v>44440</c:v>
                </c:pt>
                <c:pt idx="16">
                  <c:v>44470</c:v>
                </c:pt>
                <c:pt idx="17">
                  <c:v>44501</c:v>
                </c:pt>
                <c:pt idx="18">
                  <c:v>44531</c:v>
                </c:pt>
                <c:pt idx="19">
                  <c:v>44562</c:v>
                </c:pt>
                <c:pt idx="20">
                  <c:v>44593</c:v>
                </c:pt>
                <c:pt idx="21">
                  <c:v>44621</c:v>
                </c:pt>
                <c:pt idx="22">
                  <c:v>44652</c:v>
                </c:pt>
                <c:pt idx="23">
                  <c:v>44682</c:v>
                </c:pt>
                <c:pt idx="24">
                  <c:v>44713</c:v>
                </c:pt>
                <c:pt idx="25">
                  <c:v>44743</c:v>
                </c:pt>
                <c:pt idx="26">
                  <c:v>44774</c:v>
                </c:pt>
                <c:pt idx="27">
                  <c:v>44805</c:v>
                </c:pt>
                <c:pt idx="28">
                  <c:v>44835</c:v>
                </c:pt>
                <c:pt idx="29">
                  <c:v>44866</c:v>
                </c:pt>
                <c:pt idx="30">
                  <c:v>44896</c:v>
                </c:pt>
                <c:pt idx="31">
                  <c:v>44927</c:v>
                </c:pt>
                <c:pt idx="32">
                  <c:v>44958</c:v>
                </c:pt>
                <c:pt idx="33">
                  <c:v>44986</c:v>
                </c:pt>
                <c:pt idx="34">
                  <c:v>45017</c:v>
                </c:pt>
                <c:pt idx="35">
                  <c:v>45047</c:v>
                </c:pt>
                <c:pt idx="36">
                  <c:v>45078</c:v>
                </c:pt>
                <c:pt idx="37">
                  <c:v>45108</c:v>
                </c:pt>
                <c:pt idx="38">
                  <c:v>45139</c:v>
                </c:pt>
                <c:pt idx="39">
                  <c:v>45170</c:v>
                </c:pt>
                <c:pt idx="40">
                  <c:v>45200</c:v>
                </c:pt>
                <c:pt idx="41">
                  <c:v>45231</c:v>
                </c:pt>
                <c:pt idx="42">
                  <c:v>45261</c:v>
                </c:pt>
                <c:pt idx="43">
                  <c:v>45292</c:v>
                </c:pt>
                <c:pt idx="44">
                  <c:v>45323</c:v>
                </c:pt>
                <c:pt idx="45">
                  <c:v>45352</c:v>
                </c:pt>
                <c:pt idx="46">
                  <c:v>45383</c:v>
                </c:pt>
                <c:pt idx="47">
                  <c:v>45413</c:v>
                </c:pt>
                <c:pt idx="48">
                  <c:v>45444</c:v>
                </c:pt>
                <c:pt idx="49">
                  <c:v>45474</c:v>
                </c:pt>
                <c:pt idx="50">
                  <c:v>45505</c:v>
                </c:pt>
                <c:pt idx="51">
                  <c:v>45536</c:v>
                </c:pt>
                <c:pt idx="52">
                  <c:v>45566</c:v>
                </c:pt>
                <c:pt idx="53">
                  <c:v>45597</c:v>
                </c:pt>
                <c:pt idx="54">
                  <c:v>45627</c:v>
                </c:pt>
                <c:pt idx="55">
                  <c:v>45658</c:v>
                </c:pt>
                <c:pt idx="56">
                  <c:v>45689</c:v>
                </c:pt>
                <c:pt idx="57">
                  <c:v>45717</c:v>
                </c:pt>
                <c:pt idx="58">
                  <c:v>45352</c:v>
                </c:pt>
              </c:numCache>
            </c:numRef>
          </c:cat>
          <c:val>
            <c:numRef>
              <c:f>'Data. Securities'!$AF$39:$AF$97</c:f>
              <c:numCache>
                <c:formatCode>0.00%</c:formatCode>
                <c:ptCount val="59"/>
                <c:pt idx="0">
                  <c:v>4.3922837816571525E-2</c:v>
                </c:pt>
                <c:pt idx="1">
                  <c:v>0.12165591385947082</c:v>
                </c:pt>
                <c:pt idx="2">
                  <c:v>0.16372606628456338</c:v>
                </c:pt>
                <c:pt idx="3">
                  <c:v>-2.6262298450994394E-2</c:v>
                </c:pt>
                <c:pt idx="4">
                  <c:v>-2.4973198472403785E-2</c:v>
                </c:pt>
                <c:pt idx="5">
                  <c:v>9.4853135355120369E-2</c:v>
                </c:pt>
                <c:pt idx="6">
                  <c:v>8.483558506848057E-3</c:v>
                </c:pt>
                <c:pt idx="7">
                  <c:v>4.9672016492156319E-3</c:v>
                </c:pt>
                <c:pt idx="8">
                  <c:v>6.8852537032025957E-2</c:v>
                </c:pt>
                <c:pt idx="9">
                  <c:v>-1.9591716828159762E-2</c:v>
                </c:pt>
                <c:pt idx="10">
                  <c:v>0.10083301758507884</c:v>
                </c:pt>
                <c:pt idx="11">
                  <c:v>3.1711446356105913E-2</c:v>
                </c:pt>
                <c:pt idx="12">
                  <c:v>0.12301438039960311</c:v>
                </c:pt>
                <c:pt idx="13">
                  <c:v>1.29839754886179E-2</c:v>
                </c:pt>
                <c:pt idx="14">
                  <c:v>7.7150908078023966E-2</c:v>
                </c:pt>
                <c:pt idx="15">
                  <c:v>-6.8163479338513216E-2</c:v>
                </c:pt>
                <c:pt idx="16">
                  <c:v>0.13198890961579557</c:v>
                </c:pt>
                <c:pt idx="17">
                  <c:v>0.11459294691915262</c:v>
                </c:pt>
                <c:pt idx="18">
                  <c:v>-2.5148081141131678E-2</c:v>
                </c:pt>
                <c:pt idx="19">
                  <c:v>-8.9098246891973959E-2</c:v>
                </c:pt>
                <c:pt idx="20">
                  <c:v>-3.1164064084465273E-2</c:v>
                </c:pt>
                <c:pt idx="21">
                  <c:v>5.8730816052782825E-2</c:v>
                </c:pt>
                <c:pt idx="22">
                  <c:v>-0.21796870546907951</c:v>
                </c:pt>
                <c:pt idx="23">
                  <c:v>1.3876243559796391E-3</c:v>
                </c:pt>
                <c:pt idx="24">
                  <c:v>-0.13674774702361137</c:v>
                </c:pt>
                <c:pt idx="25">
                  <c:v>0.13304158822505013</c:v>
                </c:pt>
                <c:pt idx="26">
                  <c:v>-0.11948477519631584</c:v>
                </c:pt>
                <c:pt idx="27">
                  <c:v>-0.16603230851890677</c:v>
                </c:pt>
                <c:pt idx="28">
                  <c:v>5.4991135902961875E-2</c:v>
                </c:pt>
                <c:pt idx="29">
                  <c:v>0.19326977539614398</c:v>
                </c:pt>
                <c:pt idx="30">
                  <c:v>-0.11866848018480207</c:v>
                </c:pt>
                <c:pt idx="31">
                  <c:v>0.23479819633341331</c:v>
                </c:pt>
                <c:pt idx="32">
                  <c:v>5.1293714119205809E-2</c:v>
                </c:pt>
                <c:pt idx="33">
                  <c:v>0.14072361827538049</c:v>
                </c:pt>
                <c:pt idx="34">
                  <c:v>-3.5405708869178285E-3</c:v>
                </c:pt>
                <c:pt idx="35">
                  <c:v>0.22418150675123516</c:v>
                </c:pt>
                <c:pt idx="36">
                  <c:v>6.091745500540878E-2</c:v>
                </c:pt>
                <c:pt idx="37">
                  <c:v>7.1037415820316988E-2</c:v>
                </c:pt>
                <c:pt idx="38">
                  <c:v>2.727382166375044E-2</c:v>
                </c:pt>
                <c:pt idx="39">
                  <c:v>-8.7103780346365678E-2</c:v>
                </c:pt>
                <c:pt idx="40">
                  <c:v>-4.8274619080102762E-2</c:v>
                </c:pt>
                <c:pt idx="41">
                  <c:v>0.11477602628905578</c:v>
                </c:pt>
                <c:pt idx="42">
                  <c:v>5.0687247344580522E-2</c:v>
                </c:pt>
                <c:pt idx="43">
                  <c:v>0.13320561381498519</c:v>
                </c:pt>
                <c:pt idx="44">
                  <c:v>0.15703563978996007</c:v>
                </c:pt>
                <c:pt idx="45">
                  <c:v>9.4887140386471835E-2</c:v>
                </c:pt>
                <c:pt idx="46">
                  <c:v>-1.0781883958852802E-2</c:v>
                </c:pt>
                <c:pt idx="47">
                  <c:v>0.15504786472380377</c:v>
                </c:pt>
                <c:pt idx="48">
                  <c:v>8.9044658935421572E-2</c:v>
                </c:pt>
                <c:pt idx="49">
                  <c:v>-4.5263595978862689E-2</c:v>
                </c:pt>
                <c:pt idx="50">
                  <c:v>5.4867072815108706E-3</c:v>
                </c:pt>
                <c:pt idx="51">
                  <c:v>1.1234304157863879E-2</c:v>
                </c:pt>
                <c:pt idx="52">
                  <c:v>6.7680376825195621E-2</c:v>
                </c:pt>
                <c:pt idx="53">
                  <c:v>1.9703425086424597E-2</c:v>
                </c:pt>
                <c:pt idx="54">
                  <c:v>2.1310537156135186E-2</c:v>
                </c:pt>
                <c:pt idx="55">
                  <c:v>-1.7571286289743707E-2</c:v>
                </c:pt>
                <c:pt idx="56">
                  <c:v>-3.647816296556658E-2</c:v>
                </c:pt>
                <c:pt idx="57">
                  <c:v>-0.10612190121772595</c:v>
                </c:pt>
                <c:pt idx="58">
                  <c:v>-5.9401996793926784E-2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9C-C746-BC9D-8A3CDEEBF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13183"/>
        <c:axId val="1549139888"/>
      </c:lineChart>
      <c:dateAx>
        <c:axId val="127813183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139888"/>
        <c:crosses val="autoZero"/>
        <c:auto val="1"/>
        <c:lblOffset val="100"/>
        <c:baseTimeUnit val="months"/>
      </c:dateAx>
      <c:valAx>
        <c:axId val="154913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1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182539174517015"/>
          <c:y val="0.74198463280574634"/>
          <c:w val="0.34480221279694551"/>
          <c:h val="0.230126918062858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Hypothetical Growth of the</a:t>
            </a:r>
            <a:r>
              <a:rPr lang="en-US" b="1" baseline="0"/>
              <a:t> Prices</a:t>
            </a:r>
            <a:br>
              <a:rPr lang="en-US" b="1" baseline="0"/>
            </a:br>
            <a:r>
              <a: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59 months Back Data Tracking (2019 -2024)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QQQ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'Data. Securities'!$C$38:$C$97</c:f>
              <c:numCache>
                <c:formatCode>General</c:formatCode>
                <c:ptCount val="60"/>
                <c:pt idx="0">
                  <c:v>233.24</c:v>
                </c:pt>
                <c:pt idx="1">
                  <c:v>247.47</c:v>
                </c:pt>
                <c:pt idx="2">
                  <c:v>265.64999999999998</c:v>
                </c:pt>
                <c:pt idx="3">
                  <c:v>294.73</c:v>
                </c:pt>
                <c:pt idx="4">
                  <c:v>277.69</c:v>
                </c:pt>
                <c:pt idx="5">
                  <c:v>269.24</c:v>
                </c:pt>
                <c:pt idx="6">
                  <c:v>299.45999999999998</c:v>
                </c:pt>
                <c:pt idx="7">
                  <c:v>313.58</c:v>
                </c:pt>
                <c:pt idx="8">
                  <c:v>314.39</c:v>
                </c:pt>
                <c:pt idx="9">
                  <c:v>313.98</c:v>
                </c:pt>
                <c:pt idx="10">
                  <c:v>318.95999999999998</c:v>
                </c:pt>
                <c:pt idx="11">
                  <c:v>337.81</c:v>
                </c:pt>
                <c:pt idx="12">
                  <c:v>333.76</c:v>
                </c:pt>
                <c:pt idx="13">
                  <c:v>354.24</c:v>
                </c:pt>
                <c:pt idx="14">
                  <c:v>364.38</c:v>
                </c:pt>
                <c:pt idx="15">
                  <c:v>379.75</c:v>
                </c:pt>
                <c:pt idx="16">
                  <c:v>357.77</c:v>
                </c:pt>
                <c:pt idx="17">
                  <c:v>385.91</c:v>
                </c:pt>
                <c:pt idx="18">
                  <c:v>393.61</c:v>
                </c:pt>
                <c:pt idx="19">
                  <c:v>397.64</c:v>
                </c:pt>
                <c:pt idx="20">
                  <c:v>362.86</c:v>
                </c:pt>
                <c:pt idx="21">
                  <c:v>346.62</c:v>
                </c:pt>
                <c:pt idx="22">
                  <c:v>362.35</c:v>
                </c:pt>
                <c:pt idx="23">
                  <c:v>313.08999999999997</c:v>
                </c:pt>
                <c:pt idx="24">
                  <c:v>308.12</c:v>
                </c:pt>
                <c:pt idx="25">
                  <c:v>280.13</c:v>
                </c:pt>
                <c:pt idx="26">
                  <c:v>315.29000000000002</c:v>
                </c:pt>
                <c:pt idx="27">
                  <c:v>299.11</c:v>
                </c:pt>
                <c:pt idx="28">
                  <c:v>267.12</c:v>
                </c:pt>
                <c:pt idx="29">
                  <c:v>277.8</c:v>
                </c:pt>
                <c:pt idx="30">
                  <c:v>293.20999999999998</c:v>
                </c:pt>
                <c:pt idx="31">
                  <c:v>266.14</c:v>
                </c:pt>
                <c:pt idx="32">
                  <c:v>294.45999999999998</c:v>
                </c:pt>
                <c:pt idx="33">
                  <c:v>293.41000000000003</c:v>
                </c:pt>
                <c:pt idx="34">
                  <c:v>320.76</c:v>
                </c:pt>
                <c:pt idx="35">
                  <c:v>322.39</c:v>
                </c:pt>
                <c:pt idx="36">
                  <c:v>347.81</c:v>
                </c:pt>
                <c:pt idx="37">
                  <c:v>369.23</c:v>
                </c:pt>
                <c:pt idx="38">
                  <c:v>383.48</c:v>
                </c:pt>
                <c:pt idx="39">
                  <c:v>377.79</c:v>
                </c:pt>
                <c:pt idx="40">
                  <c:v>358.08</c:v>
                </c:pt>
                <c:pt idx="41">
                  <c:v>350.69</c:v>
                </c:pt>
                <c:pt idx="42">
                  <c:v>388.63</c:v>
                </c:pt>
                <c:pt idx="43">
                  <c:v>409.52</c:v>
                </c:pt>
                <c:pt idx="44">
                  <c:v>416.97</c:v>
                </c:pt>
                <c:pt idx="45">
                  <c:v>439</c:v>
                </c:pt>
                <c:pt idx="46">
                  <c:v>444.01</c:v>
                </c:pt>
                <c:pt idx="47">
                  <c:v>424.59</c:v>
                </c:pt>
                <c:pt idx="48">
                  <c:v>450.71</c:v>
                </c:pt>
                <c:pt idx="49">
                  <c:v>479.11</c:v>
                </c:pt>
                <c:pt idx="50">
                  <c:v>471.07</c:v>
                </c:pt>
                <c:pt idx="51">
                  <c:v>476.27</c:v>
                </c:pt>
                <c:pt idx="52">
                  <c:v>488.07</c:v>
                </c:pt>
                <c:pt idx="53">
                  <c:v>483.85</c:v>
                </c:pt>
                <c:pt idx="54">
                  <c:v>509.74</c:v>
                </c:pt>
                <c:pt idx="55">
                  <c:v>511.23</c:v>
                </c:pt>
                <c:pt idx="56">
                  <c:v>522.29</c:v>
                </c:pt>
                <c:pt idx="57">
                  <c:v>508.17</c:v>
                </c:pt>
                <c:pt idx="58">
                  <c:v>468.92</c:v>
                </c:pt>
                <c:pt idx="59">
                  <c:v>444.1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F-A246-92F7-49584B407F2D}"/>
            </c:ext>
          </c:extLst>
        </c:ser>
        <c:ser>
          <c:idx val="1"/>
          <c:order val="1"/>
          <c:tx>
            <c:v>Active Pf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'Data. Securities'!$AE$38:$AE$97</c:f>
              <c:numCache>
                <c:formatCode>0.00</c:formatCode>
                <c:ptCount val="60"/>
                <c:pt idx="0">
                  <c:v>233.24</c:v>
                </c:pt>
                <c:pt idx="1">
                  <c:v>243.48456269233714</c:v>
                </c:pt>
                <c:pt idx="2">
                  <c:v>273.10589967734705</c:v>
                </c:pt>
                <c:pt idx="3">
                  <c:v>317.82045431062573</c:v>
                </c:pt>
                <c:pt idx="4">
                  <c:v>309.47375868568946</c:v>
                </c:pt>
                <c:pt idx="5">
                  <c:v>301.74520908803095</c:v>
                </c:pt>
                <c:pt idx="6">
                  <c:v>330.36668824841701</c:v>
                </c:pt>
                <c:pt idx="7">
                  <c:v>333.16937337688609</c:v>
                </c:pt>
                <c:pt idx="8">
                  <c:v>334.82429283779192</c:v>
                </c:pt>
                <c:pt idx="9">
                  <c:v>357.87779485962784</c:v>
                </c:pt>
                <c:pt idx="10">
                  <c:v>350.86635444365174</c:v>
                </c:pt>
                <c:pt idx="11">
                  <c:v>386.24526773128099</c:v>
                </c:pt>
                <c:pt idx="12">
                  <c:v>398.49366381924125</c:v>
                </c:pt>
                <c:pt idx="13">
                  <c:v>447.51411496713297</c:v>
                </c:pt>
                <c:pt idx="14">
                  <c:v>453.32462726667671</c:v>
                </c:pt>
                <c:pt idx="15">
                  <c:v>488.29903391443253</c:v>
                </c:pt>
                <c:pt idx="16">
                  <c:v>455.01487280519018</c:v>
                </c:pt>
                <c:pt idx="17">
                  <c:v>515.07178972571717</c:v>
                </c:pt>
                <c:pt idx="18">
                  <c:v>574.09538398530924</c:v>
                </c:pt>
                <c:pt idx="19">
                  <c:v>559.6579866860975</c:v>
                </c:pt>
                <c:pt idx="20">
                  <c:v>509.79344121327449</c:v>
                </c:pt>
                <c:pt idx="21">
                  <c:v>493.90620574146391</c:v>
                </c:pt>
                <c:pt idx="22">
                  <c:v>522.91372025819373</c:v>
                </c:pt>
                <c:pt idx="23">
                  <c:v>408.93489358149486</c:v>
                </c:pt>
                <c:pt idx="24">
                  <c:v>409.50234159983847</c:v>
                </c:pt>
                <c:pt idx="25">
                  <c:v>353.5038189851673</c:v>
                </c:pt>
                <c:pt idx="26">
                  <c:v>400.53452850657459</c:v>
                </c:pt>
                <c:pt idx="27">
                  <c:v>352.67675040960415</c:v>
                </c:pt>
                <c:pt idx="28">
                  <c:v>294.12101537815124</c:v>
                </c:pt>
                <c:pt idx="29">
                  <c:v>310.29506410672826</c:v>
                </c:pt>
                <c:pt idx="30">
                  <c:v>370.26572145316777</c:v>
                </c:pt>
                <c:pt idx="31">
                  <c:v>326.32685102379111</c:v>
                </c:pt>
                <c:pt idx="32">
                  <c:v>402.94780705933977</c:v>
                </c:pt>
                <c:pt idx="33">
                  <c:v>423.61649667960245</c:v>
                </c:pt>
                <c:pt idx="34">
                  <c:v>483.22934285349686</c:v>
                </c:pt>
                <c:pt idx="35">
                  <c:v>481.51843511048531</c:v>
                </c:pt>
                <c:pt idx="36">
                  <c:v>589.46596342205078</c:v>
                </c:pt>
                <c:pt idx="37">
                  <c:v>625.37472972603348</c:v>
                </c:pt>
                <c:pt idx="38">
                  <c:v>669.79973444510017</c:v>
                </c:pt>
                <c:pt idx="39">
                  <c:v>688.06773295278322</c:v>
                </c:pt>
                <c:pt idx="40">
                  <c:v>628.13443227824223</c:v>
                </c:pt>
                <c:pt idx="41">
                  <c:v>597.81148182891343</c:v>
                </c:pt>
                <c:pt idx="42">
                  <c:v>666.42590818320821</c:v>
                </c:pt>
                <c:pt idx="43">
                  <c:v>700.20520302812724</c:v>
                </c:pt>
                <c:pt idx="44">
                  <c:v>793.47646689393537</c:v>
                </c:pt>
                <c:pt idx="45">
                  <c:v>918.08055153090163</c:v>
                </c:pt>
                <c:pt idx="46">
                  <c:v>1005.1945897101036</c:v>
                </c:pt>
                <c:pt idx="47">
                  <c:v>994.35669828778259</c:v>
                </c:pt>
                <c:pt idx="48">
                  <c:v>1148.529581131115</c:v>
                </c:pt>
                <c:pt idx="49">
                  <c:v>1250.8000059601779</c:v>
                </c:pt>
                <c:pt idx="50">
                  <c:v>1194.1842998400375</c:v>
                </c:pt>
                <c:pt idx="51">
                  <c:v>1200.7364395334357</c:v>
                </c:pt>
                <c:pt idx="52">
                  <c:v>1214.2258779085851</c:v>
                </c:pt>
                <c:pt idx="53">
                  <c:v>1296.4051428763421</c:v>
                </c:pt>
                <c:pt idx="54">
                  <c:v>1321.9487644906617</c:v>
                </c:pt>
                <c:pt idx="55">
                  <c:v>1350.120202754847</c:v>
                </c:pt>
                <c:pt idx="56">
                  <c:v>1326.3968541466747</c:v>
                </c:pt>
                <c:pt idx="57">
                  <c:v>1278.0123335440974</c:v>
                </c:pt>
                <c:pt idx="58">
                  <c:v>1142.3872349286953</c:v>
                </c:pt>
                <c:pt idx="59">
                  <c:v>1074.5271520620381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1F-A246-92F7-49584B407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4204911"/>
        <c:axId val="940085008"/>
      </c:lineChart>
      <c:catAx>
        <c:axId val="1204204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085008"/>
        <c:crosses val="autoZero"/>
        <c:auto val="1"/>
        <c:lblAlgn val="ctr"/>
        <c:lblOffset val="100"/>
        <c:noMultiLvlLbl val="0"/>
      </c:catAx>
      <c:valAx>
        <c:axId val="94008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20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2.emf"/><Relationship Id="rId7" Type="http://schemas.openxmlformats.org/officeDocument/2006/relationships/image" Target="../media/image4.png"/><Relationship Id="rId2" Type="http://schemas.openxmlformats.org/officeDocument/2006/relationships/chart" Target="../charts/chart1.xml"/><Relationship Id="rId1" Type="http://schemas.openxmlformats.org/officeDocument/2006/relationships/image" Target="../media/image1.emf"/><Relationship Id="rId6" Type="http://schemas.openxmlformats.org/officeDocument/2006/relationships/image" Target="../media/image3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8" Type="http://schemas.openxmlformats.org/officeDocument/2006/relationships/chart" Target="../charts/chart7.xml"/><Relationship Id="rId17" Type="http://schemas.openxmlformats.org/officeDocument/2006/relationships/chart" Target="../charts/chart6.xml"/><Relationship Id="rId16" Type="http://schemas.openxmlformats.org/officeDocument/2006/relationships/chart" Target="../charts/chart5.xml"/><Relationship Id="rId1" Type="http://schemas.openxmlformats.org/officeDocument/2006/relationships/customXml" Target="../ink/ink1.xml"/><Relationship Id="rId15" Type="http://schemas.openxmlformats.org/officeDocument/2006/relationships/image" Target="../media/image230.png"/><Relationship Id="rId19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241300</xdr:colOff>
      <xdr:row>12</xdr:row>
      <xdr:rowOff>81659</xdr:rowOff>
    </xdr:from>
    <xdr:to>
      <xdr:col>5</xdr:col>
      <xdr:colOff>1237896</xdr:colOff>
      <xdr:row>14</xdr:row>
      <xdr:rowOff>190765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15802A-C0F4-9B4E-853F-C2CB4F1F7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200" y="2659759"/>
          <a:ext cx="996596" cy="515506"/>
        </a:xfrm>
        <a:prstGeom prst="rect">
          <a:avLst/>
        </a:prstGeom>
      </xdr:spPr>
    </xdr:pic>
    <xdr:clientData/>
  </xdr:twoCellAnchor>
  <xdr:twoCellAnchor>
    <xdr:from>
      <xdr:col>6</xdr:col>
      <xdr:colOff>138546</xdr:colOff>
      <xdr:row>9</xdr:row>
      <xdr:rowOff>11546</xdr:rowOff>
    </xdr:from>
    <xdr:to>
      <xdr:col>10</xdr:col>
      <xdr:colOff>258841</xdr:colOff>
      <xdr:row>20</xdr:row>
      <xdr:rowOff>204998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A9445C-1360-C157-7896-E6545AA11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88900</xdr:colOff>
      <xdr:row>19</xdr:row>
      <xdr:rowOff>50800</xdr:rowOff>
    </xdr:from>
    <xdr:to>
      <xdr:col>4</xdr:col>
      <xdr:colOff>447393</xdr:colOff>
      <xdr:row>20</xdr:row>
      <xdr:rowOff>161007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AB8B74-02B3-554E-B598-1F965802A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0" y="4089400"/>
          <a:ext cx="4105597" cy="326107"/>
        </a:xfrm>
        <a:prstGeom prst="rect">
          <a:avLst/>
        </a:prstGeom>
      </xdr:spPr>
    </xdr:pic>
    <xdr:clientData/>
  </xdr:twoCellAnchor>
  <xdr:twoCellAnchor>
    <xdr:from>
      <xdr:col>6</xdr:col>
      <xdr:colOff>139700</xdr:colOff>
      <xdr:row>21</xdr:row>
      <xdr:rowOff>80818</xdr:rowOff>
    </xdr:from>
    <xdr:to>
      <xdr:col>10</xdr:col>
      <xdr:colOff>266701</xdr:colOff>
      <xdr:row>33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70E061-ACF1-AF9A-173E-A8F940752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704850</xdr:colOff>
      <xdr:row>9</xdr:row>
      <xdr:rowOff>35791</xdr:rowOff>
    </xdr:from>
    <xdr:to>
      <xdr:col>16</xdr:col>
      <xdr:colOff>189346</xdr:colOff>
      <xdr:row>33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9945C1-AF7B-B6DC-3750-37CA3095F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119348</xdr:colOff>
      <xdr:row>35</xdr:row>
      <xdr:rowOff>15453</xdr:rowOff>
    </xdr:from>
    <xdr:to>
      <xdr:col>5</xdr:col>
      <xdr:colOff>1042930</xdr:colOff>
      <xdr:row>74</xdr:row>
      <xdr:rowOff>162226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E8FE10-F5A7-DDA4-8664-0C963B9B5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348" y="7249863"/>
          <a:ext cx="6692748" cy="8023833"/>
        </a:xfrm>
        <a:prstGeom prst="rect">
          <a:avLst/>
        </a:prstGeom>
      </xdr:spPr>
    </xdr:pic>
    <xdr:clientData/>
  </xdr:twoCellAnchor>
  <xdr:twoCellAnchor editAs="oneCell">
    <xdr:from>
      <xdr:col>6</xdr:col>
      <xdr:colOff>146893</xdr:colOff>
      <xdr:row>34</xdr:row>
      <xdr:rowOff>110168</xdr:rowOff>
    </xdr:from>
    <xdr:to>
      <xdr:col>13</xdr:col>
      <xdr:colOff>656</xdr:colOff>
      <xdr:row>74</xdr:row>
      <xdr:rowOff>120989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255FD2-4FA0-AD97-7AFB-A85A97B43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30459" y="7142602"/>
          <a:ext cx="6885541" cy="8089857"/>
        </a:xfrm>
        <a:prstGeom prst="rect">
          <a:avLst/>
        </a:prstGeom>
      </xdr:spPr>
    </xdr:pic>
    <xdr:clientData/>
  </xdr:twoCellAnchor>
  <xdr:twoCellAnchor>
    <xdr:from>
      <xdr:col>16</xdr:col>
      <xdr:colOff>533400</xdr:colOff>
      <xdr:row>9</xdr:row>
      <xdr:rowOff>0</xdr:rowOff>
    </xdr:from>
    <xdr:to>
      <xdr:col>22</xdr:col>
      <xdr:colOff>203200</xdr:colOff>
      <xdr:row>33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C7287C2-1EAE-ED4D-8AD6-7B027CBD5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269723</xdr:colOff>
      <xdr:row>30</xdr:row>
      <xdr:rowOff>193523</xdr:rowOff>
    </xdr:from>
    <xdr:to>
      <xdr:col>7</xdr:col>
      <xdr:colOff>125790</xdr:colOff>
      <xdr:row>32</xdr:row>
      <xdr:rowOff>32658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6B0339E-4E3B-1444-A453-718EEFAA1CEA}"/>
            </a:ext>
          </a:extLst>
        </xdr:cNvPr>
        <xdr:cNvSpPr/>
      </xdr:nvSpPr>
      <xdr:spPr bwMode="auto">
        <a:xfrm>
          <a:off x="7407123" y="9464523"/>
          <a:ext cx="2726267" cy="2455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966291</xdr:colOff>
      <xdr:row>34</xdr:row>
      <xdr:rowOff>184137</xdr:rowOff>
    </xdr:from>
    <xdr:to>
      <xdr:col>3</xdr:col>
      <xdr:colOff>966651</xdr:colOff>
      <xdr:row>34</xdr:row>
      <xdr:rowOff>187377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5F1D512-692C-D347-94B6-EB3BFAA742E8}"/>
                </a:ext>
              </a:extLst>
            </xdr14:cNvPr>
            <xdr14:cNvContentPartPr/>
          </xdr14:nvContentPartPr>
          <xdr14:nvPr macro=""/>
          <xdr14:xfrm>
            <a:off x="4628880" y="8711280"/>
            <a:ext cx="360" cy="32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A699F80-900F-BFD6-CBC5-E8D9A133FD9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620240" y="8702640"/>
              <a:ext cx="18000" cy="20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385680</xdr:colOff>
      <xdr:row>27</xdr:row>
      <xdr:rowOff>26827</xdr:rowOff>
    </xdr:from>
    <xdr:to>
      <xdr:col>5</xdr:col>
      <xdr:colOff>1899920</xdr:colOff>
      <xdr:row>42</xdr:row>
      <xdr:rowOff>74705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60F30D-89CD-FFCA-59A3-B3D44A23F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1693</xdr:colOff>
      <xdr:row>5</xdr:row>
      <xdr:rowOff>25401</xdr:rowOff>
    </xdr:from>
    <xdr:to>
      <xdr:col>12</xdr:col>
      <xdr:colOff>12211</xdr:colOff>
      <xdr:row>22</xdr:row>
      <xdr:rowOff>183065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DDF9CB-843C-3D4D-AC17-3F658F667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489193</xdr:colOff>
      <xdr:row>24</xdr:row>
      <xdr:rowOff>133685</xdr:rowOff>
    </xdr:from>
    <xdr:to>
      <xdr:col>18</xdr:col>
      <xdr:colOff>467894</xdr:colOff>
      <xdr:row>42</xdr:row>
      <xdr:rowOff>44561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CB8D4-4696-014C-9D4D-E42A07975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239190</xdr:colOff>
      <xdr:row>3</xdr:row>
      <xdr:rowOff>185100</xdr:rowOff>
    </xdr:from>
    <xdr:to>
      <xdr:col>23</xdr:col>
      <xdr:colOff>155965</xdr:colOff>
      <xdr:row>23</xdr:row>
      <xdr:rowOff>22280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BCBF36-EB36-4F41-9CB7-D3ACFC389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520920</xdr:colOff>
      <xdr:row>47</xdr:row>
      <xdr:rowOff>65862</xdr:rowOff>
    </xdr:from>
    <xdr:to>
      <xdr:col>8</xdr:col>
      <xdr:colOff>452166</xdr:colOff>
      <xdr:row>50</xdr:row>
      <xdr:rowOff>11989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3B0C4EE-E423-5442-B412-20A32DBFF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6969" y="10069072"/>
          <a:ext cx="2032234" cy="636003"/>
        </a:xfrm>
        <a:prstGeom prst="rect">
          <a:avLst/>
        </a:prstGeom>
      </xdr:spPr>
    </xdr:pic>
    <xdr:clientData/>
  </xdr:twoCellAnchor>
  <xdr:twoCellAnchor>
    <xdr:from>
      <xdr:col>5</xdr:col>
      <xdr:colOff>98754</xdr:colOff>
      <xdr:row>54</xdr:row>
      <xdr:rowOff>127000</xdr:rowOff>
    </xdr:from>
    <xdr:to>
      <xdr:col>9</xdr:col>
      <xdr:colOff>1019504</xdr:colOff>
      <xdr:row>69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B18529-F806-CA12-860B-F919F1A77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682236</xdr:colOff>
      <xdr:row>0</xdr:row>
      <xdr:rowOff>294618</xdr:rowOff>
    </xdr:from>
    <xdr:to>
      <xdr:col>15</xdr:col>
      <xdr:colOff>759359</xdr:colOff>
      <xdr:row>2</xdr:row>
      <xdr:rowOff>67440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CBE2D4-980F-CA49-86D4-0765AD341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76255" y="294618"/>
          <a:ext cx="5646725" cy="576030"/>
        </a:xfrm>
        <a:prstGeom prst="rect">
          <a:avLst/>
        </a:prstGeom>
      </xdr:spPr>
    </xdr:pic>
    <xdr:clientData/>
  </xdr:twoCellAnchor>
  <xdr:twoCellAnchor editAs="oneCell">
    <xdr:from>
      <xdr:col>16</xdr:col>
      <xdr:colOff>501916</xdr:colOff>
      <xdr:row>1</xdr:row>
      <xdr:rowOff>65456</xdr:rowOff>
    </xdr:from>
    <xdr:to>
      <xdr:col>20</xdr:col>
      <xdr:colOff>920011</xdr:colOff>
      <xdr:row>2</xdr:row>
      <xdr:rowOff>25423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341784-C396-6E48-9B6C-6EDAD816A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83037" y="433400"/>
          <a:ext cx="4501086" cy="395231"/>
        </a:xfrm>
        <a:prstGeom prst="rect">
          <a:avLst/>
        </a:prstGeom>
      </xdr:spPr>
    </xdr:pic>
    <xdr:clientData/>
  </xdr:twoCellAnchor>
  <xdr:twoCellAnchor>
    <xdr:from>
      <xdr:col>21</xdr:col>
      <xdr:colOff>740833</xdr:colOff>
      <xdr:row>16</xdr:row>
      <xdr:rowOff>153516</xdr:rowOff>
    </xdr:from>
    <xdr:to>
      <xdr:col>35</xdr:col>
      <xdr:colOff>5346</xdr:colOff>
      <xdr:row>33</xdr:row>
      <xdr:rowOff>257681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952893-9C6D-C2BA-A425-23BD1AAAF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740833</xdr:colOff>
      <xdr:row>1</xdr:row>
      <xdr:rowOff>19353</xdr:rowOff>
    </xdr:from>
    <xdr:to>
      <xdr:col>29</xdr:col>
      <xdr:colOff>508001</xdr:colOff>
      <xdr:row>16</xdr:row>
      <xdr:rowOff>83736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D28905-FA1F-8E8E-C3D5-59AE92E12A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584200</xdr:colOff>
      <xdr:row>1</xdr:row>
      <xdr:rowOff>12700</xdr:rowOff>
    </xdr:from>
    <xdr:to>
      <xdr:col>35</xdr:col>
      <xdr:colOff>12700</xdr:colOff>
      <xdr:row>16</xdr:row>
      <xdr:rowOff>69780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167ED6-7A12-E54C-7B35-8ADD4B90F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49239</xdr:colOff>
      <xdr:row>13</xdr:row>
      <xdr:rowOff>81961</xdr:rowOff>
    </xdr:from>
    <xdr:to>
      <xdr:col>8</xdr:col>
      <xdr:colOff>368300</xdr:colOff>
      <xdr:row>15</xdr:row>
      <xdr:rowOff>175529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56ED7C-9133-4D43-BCAC-26A304460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5738" y="2830158"/>
          <a:ext cx="1151848" cy="509961"/>
        </a:xfrm>
        <a:prstGeom prst="rect">
          <a:avLst/>
        </a:prstGeom>
      </xdr:spPr>
    </xdr:pic>
    <xdr:clientData/>
  </xdr:twoCellAnchor>
  <xdr:twoCellAnchor editAs="oneCell">
    <xdr:from>
      <xdr:col>7</xdr:col>
      <xdr:colOff>32012</xdr:colOff>
      <xdr:row>16</xdr:row>
      <xdr:rowOff>128825</xdr:rowOff>
    </xdr:from>
    <xdr:to>
      <xdr:col>9</xdr:col>
      <xdr:colOff>697529</xdr:colOff>
      <xdr:row>18</xdr:row>
      <xdr:rowOff>94107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57DF00-1609-D44A-90E1-D1F6EA363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5738" y="3501612"/>
          <a:ext cx="2331091" cy="381675"/>
        </a:xfrm>
        <a:prstGeom prst="rect">
          <a:avLst/>
        </a:prstGeom>
      </xdr:spPr>
    </xdr:pic>
    <xdr:clientData/>
  </xdr:twoCellAnchor>
  <xdr:twoCellAnchor editAs="oneCell">
    <xdr:from>
      <xdr:col>0</xdr:col>
      <xdr:colOff>51806</xdr:colOff>
      <xdr:row>18</xdr:row>
      <xdr:rowOff>198081</xdr:rowOff>
    </xdr:from>
    <xdr:to>
      <xdr:col>5</xdr:col>
      <xdr:colOff>639659</xdr:colOff>
      <xdr:row>41</xdr:row>
      <xdr:rowOff>114300</xdr:rowOff>
    </xdr:to>
    <xdr:pic>
      <xdr:nvPicPr>
        <xdr:cNvPr id="4" name="Picture 3" descr="Graph presents duration approximation as a straight, downward-sloping line, while actual price change is a downward-bowed curve.">
          <a:extLst>
            <a:ext uri="{FF2B5EF4-FFF2-40B4-BE49-F238E27FC236}">
              <a16:creationId xmlns:a16="http://schemas.microsoft.com/office/drawing/2014/main" id="{54A15BD9-401B-394B-94AF-5DDB64EC8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06" y="3928706"/>
          <a:ext cx="7112478" cy="4675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paulbumchanahn/Desktop/HULT/HULT%20Professor%20PG/PG%202023%20Spring_Investment%20/2023%20Spring_Investments_Excel_Application_Ch16.%20Holding%20Period%20Immuniz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Paulahn/Desktop/Accounting%20TA/Performance%20Management/C:/Users/John/Accounting%20HULT%20My%20Files/accounting%20hult%20team%20files/Managerial%20Accounting/Chapter%202/C-V-P%20Graph%20for%20Class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xity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Case"/>
      <sheetName val="FCFF vs. FCFE"/>
    </sheetNames>
    <sheetDataSet>
      <sheetData sheetId="0" refreshError="1"/>
      <sheetData sheetId="1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23T18:43:07.3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21733,'0'4'0,"0"-1"0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hyperlink" Target="mailto:R%5E@" TargetMode="Externa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E913-5181-C441-BCD3-088691783E99}">
  <sheetPr>
    <pageSetUpPr fitToPage="1"/>
  </sheetPr>
  <dimension ref="A1:P47"/>
  <sheetViews>
    <sheetView showGridLines="0" topLeftCell="B1" zoomScale="50" zoomScaleNormal="100" workbookViewId="0">
      <selection activeCell="Y13" sqref="Y13"/>
    </sheetView>
  </sheetViews>
  <sheetFormatPr baseColWidth="10" defaultColWidth="10.83203125" defaultRowHeight="16"/>
  <cols>
    <col min="1" max="1" width="3" style="92" customWidth="1"/>
    <col min="2" max="2" width="16.83203125" style="92" customWidth="1"/>
    <col min="3" max="3" width="19.5" style="92" customWidth="1"/>
    <col min="4" max="4" width="12.83203125" style="92" customWidth="1"/>
    <col min="5" max="5" width="15.6640625" style="92" customWidth="1"/>
    <col min="6" max="6" width="21.5" style="92" customWidth="1"/>
    <col min="7" max="7" width="14.1640625" style="92" customWidth="1"/>
    <col min="8" max="8" width="10.83203125" style="92"/>
    <col min="9" max="9" width="14" style="92" customWidth="1"/>
    <col min="10" max="10" width="13.5" style="92" customWidth="1"/>
    <col min="11" max="16384" width="10.83203125" style="92"/>
  </cols>
  <sheetData>
    <row r="1" spans="1:16" ht="17" thickBot="1"/>
    <row r="2" spans="1:16" ht="25">
      <c r="B2" s="278" t="s">
        <v>77</v>
      </c>
      <c r="C2" s="279"/>
      <c r="D2" s="273"/>
      <c r="E2" s="273"/>
      <c r="F2" s="273"/>
      <c r="G2" s="274"/>
    </row>
    <row r="3" spans="1:16" ht="19" thickBot="1">
      <c r="B3" s="280" t="s">
        <v>55</v>
      </c>
      <c r="C3" s="281"/>
      <c r="D3" s="276"/>
      <c r="E3" s="276"/>
      <c r="F3" s="276"/>
      <c r="G3" s="277"/>
    </row>
    <row r="5" spans="1:16">
      <c r="B5" s="254" t="s">
        <v>78</v>
      </c>
      <c r="C5" s="250"/>
      <c r="D5" s="251"/>
    </row>
    <row r="6" spans="1:16">
      <c r="B6" s="101" t="s">
        <v>79</v>
      </c>
      <c r="C6" s="101"/>
      <c r="D6" s="121">
        <v>0.04</v>
      </c>
    </row>
    <row r="7" spans="1:16">
      <c r="B7" s="101" t="s">
        <v>80</v>
      </c>
      <c r="C7" s="101"/>
      <c r="D7" s="113">
        <f>'Asset Classes Allocation'!D26</f>
        <v>0.27487674495168413</v>
      </c>
    </row>
    <row r="8" spans="1:16">
      <c r="B8" s="101" t="s">
        <v>81</v>
      </c>
      <c r="C8" s="101"/>
      <c r="D8" s="113">
        <f>'Asset Classes Allocation'!E26</f>
        <v>0.33658469534342189</v>
      </c>
    </row>
    <row r="9" spans="1:16">
      <c r="L9" s="334">
        <v>0.4</v>
      </c>
      <c r="M9" s="335">
        <v>0.13395069798067366</v>
      </c>
      <c r="N9" s="335">
        <v>0.13463387813736877</v>
      </c>
      <c r="O9" s="335">
        <v>8.8634995124903998E-2</v>
      </c>
      <c r="P9" s="336">
        <f>$F$21+1/2*$D$17*N9^2</f>
        <v>0.13401148100109267</v>
      </c>
    </row>
    <row r="10" spans="1:16">
      <c r="A10" s="112"/>
      <c r="B10" s="255" t="s">
        <v>82</v>
      </c>
      <c r="C10" s="252"/>
      <c r="D10" s="253"/>
    </row>
    <row r="11" spans="1:16" ht="17" thickBot="1">
      <c r="B11" s="101" t="s">
        <v>83</v>
      </c>
      <c r="C11" s="101"/>
      <c r="D11" s="120">
        <f>(D7-D6)/(D17*D8^2)</f>
        <v>0.41464963383531289</v>
      </c>
      <c r="E11" s="103"/>
    </row>
    <row r="12" spans="1:16">
      <c r="B12" s="108" t="s">
        <v>84</v>
      </c>
      <c r="C12" s="108"/>
      <c r="D12" s="158">
        <f>1-D11</f>
        <v>0.58535036616468705</v>
      </c>
      <c r="F12" s="239"/>
    </row>
    <row r="13" spans="1:16">
      <c r="B13" s="101" t="s">
        <v>73</v>
      </c>
      <c r="C13" s="101"/>
      <c r="D13" s="113">
        <f>D11*D7+D12*D6</f>
        <v>0.13739155629064601</v>
      </c>
      <c r="F13" s="240"/>
    </row>
    <row r="14" spans="1:16">
      <c r="B14" s="101" t="s">
        <v>74</v>
      </c>
      <c r="C14" s="101"/>
      <c r="D14" s="113">
        <f>D11*D8</f>
        <v>0.13956472067872022</v>
      </c>
      <c r="F14" s="240"/>
    </row>
    <row r="15" spans="1:16">
      <c r="B15" s="108" t="s">
        <v>141</v>
      </c>
      <c r="C15" s="108"/>
      <c r="D15" s="140">
        <f>(D7-D6)/D8</f>
        <v>0.69782360339360117</v>
      </c>
      <c r="F15" s="240"/>
    </row>
    <row r="16" spans="1:16" ht="19" customHeight="1" thickBot="1">
      <c r="B16" s="92" t="s">
        <v>89</v>
      </c>
      <c r="D16" s="183">
        <v>75</v>
      </c>
      <c r="E16" s="333"/>
      <c r="F16" s="241"/>
    </row>
    <row r="17" spans="1:6">
      <c r="B17" s="92" t="s">
        <v>92</v>
      </c>
      <c r="D17" s="115">
        <f>20*(1-D16/100)</f>
        <v>5</v>
      </c>
      <c r="F17" s="133"/>
    </row>
    <row r="18" spans="1:6">
      <c r="B18" s="108" t="s">
        <v>90</v>
      </c>
      <c r="C18" s="108"/>
      <c r="D18" s="134">
        <f>D13-1/2*D17*D14^2</f>
        <v>8.8695778145323007E-2</v>
      </c>
    </row>
    <row r="19" spans="1:6" ht="17" thickBot="1">
      <c r="B19" s="135" t="s">
        <v>189</v>
      </c>
      <c r="C19" s="135"/>
      <c r="D19" s="101"/>
    </row>
    <row r="20" spans="1:6" ht="17" thickBot="1">
      <c r="A20" s="258"/>
      <c r="B20" s="259"/>
      <c r="C20" s="259"/>
      <c r="D20" s="259"/>
      <c r="E20" s="260"/>
    </row>
    <row r="21" spans="1:6" ht="17" thickBot="1">
      <c r="A21" s="261"/>
      <c r="B21" s="262"/>
      <c r="C21" s="262"/>
      <c r="D21" s="262"/>
      <c r="E21" s="263"/>
      <c r="F21" s="257">
        <f>D18</f>
        <v>8.8695778145323007E-2</v>
      </c>
    </row>
    <row r="22" spans="1:6">
      <c r="B22" s="256" t="s">
        <v>138</v>
      </c>
      <c r="C22" s="256" t="s">
        <v>135</v>
      </c>
      <c r="D22" s="256" t="s">
        <v>136</v>
      </c>
      <c r="E22" s="256" t="s">
        <v>139</v>
      </c>
      <c r="F22" s="256" t="s">
        <v>137</v>
      </c>
    </row>
    <row r="23" spans="1:6">
      <c r="B23" s="94" t="s">
        <v>140</v>
      </c>
      <c r="C23" s="141">
        <f>D13</f>
        <v>0.13739155629064601</v>
      </c>
      <c r="D23" s="141">
        <f>D14</f>
        <v>0.13956472067872022</v>
      </c>
      <c r="E23" s="141">
        <f>D18</f>
        <v>8.8695778145323007E-2</v>
      </c>
      <c r="F23" s="141">
        <f t="shared" ref="F23:F33" si="0">$F$21+1/2*$D$17*D23^2</f>
        <v>0.13739155629064601</v>
      </c>
    </row>
    <row r="24" spans="1:6">
      <c r="B24" s="142">
        <v>0.1</v>
      </c>
      <c r="C24" s="143">
        <f t="dataTable" ref="C24:E33" dt2D="0" dtr="0" r1="D11"/>
        <v>6.3487674495168414E-2</v>
      </c>
      <c r="D24" s="143">
        <v>3.3658469534342192E-2</v>
      </c>
      <c r="E24" s="143">
        <v>6.0655443066682808E-2</v>
      </c>
      <c r="F24" s="144">
        <f t="shared" si="0"/>
        <v>9.1528009573808605E-2</v>
      </c>
    </row>
    <row r="25" spans="1:6">
      <c r="B25" s="142">
        <v>0.2</v>
      </c>
      <c r="C25" s="143">
        <v>8.697534899033682E-2</v>
      </c>
      <c r="D25" s="143">
        <v>6.7316939068684384E-2</v>
      </c>
      <c r="E25" s="143">
        <v>7.5646423276394398E-2</v>
      </c>
      <c r="F25" s="144">
        <f t="shared" si="0"/>
        <v>0.10002470385926543</v>
      </c>
    </row>
    <row r="26" spans="1:6">
      <c r="B26" s="142">
        <v>0.3</v>
      </c>
      <c r="C26" s="143">
        <v>0.11046302348550523</v>
      </c>
      <c r="D26" s="143">
        <v>0.10097540860302656</v>
      </c>
      <c r="E26" s="143">
        <v>8.4972940629134797E-2</v>
      </c>
      <c r="F26" s="144">
        <f t="shared" si="0"/>
        <v>0.11418586100169344</v>
      </c>
    </row>
    <row r="27" spans="1:6">
      <c r="B27" s="334">
        <v>0.4</v>
      </c>
      <c r="C27" s="335">
        <v>0.13395069798067366</v>
      </c>
      <c r="D27" s="335">
        <v>0.13463387813736877</v>
      </c>
      <c r="E27" s="335">
        <v>8.8634995124903998E-2</v>
      </c>
      <c r="F27" s="336">
        <f t="shared" si="0"/>
        <v>0.13401148100109267</v>
      </c>
    </row>
    <row r="28" spans="1:6">
      <c r="B28" s="142">
        <v>0.5</v>
      </c>
      <c r="C28" s="143">
        <v>0.15743837247584205</v>
      </c>
      <c r="D28" s="143">
        <v>0.16829234767171095</v>
      </c>
      <c r="E28" s="143">
        <v>8.6632586763701974E-2</v>
      </c>
      <c r="F28" s="144">
        <f t="shared" si="0"/>
        <v>0.15950156385746309</v>
      </c>
    </row>
    <row r="29" spans="1:6">
      <c r="B29" s="221">
        <v>0.6</v>
      </c>
      <c r="C29" s="222">
        <v>0.18092604697101045</v>
      </c>
      <c r="D29" s="222">
        <v>0.20195081720605312</v>
      </c>
      <c r="E29" s="222">
        <v>7.8965715545528725E-2</v>
      </c>
      <c r="F29" s="144">
        <f t="shared" si="0"/>
        <v>0.19065610957080473</v>
      </c>
    </row>
    <row r="30" spans="1:6">
      <c r="B30" s="221">
        <v>0.7</v>
      </c>
      <c r="C30" s="222">
        <v>0.20441372146617889</v>
      </c>
      <c r="D30" s="222">
        <v>0.2356092867403953</v>
      </c>
      <c r="E30" s="222">
        <v>6.5634381470384362E-2</v>
      </c>
      <c r="F30" s="144">
        <f t="shared" si="0"/>
        <v>0.22747511814111754</v>
      </c>
    </row>
    <row r="31" spans="1:6">
      <c r="B31" s="221">
        <v>0.8</v>
      </c>
      <c r="C31" s="222">
        <v>0.22790139596134731</v>
      </c>
      <c r="D31" s="222">
        <v>0.26926775627473754</v>
      </c>
      <c r="E31" s="222">
        <v>4.6638584538268663E-2</v>
      </c>
      <c r="F31" s="144">
        <f t="shared" si="0"/>
        <v>0.26995858956840169</v>
      </c>
    </row>
    <row r="32" spans="1:6">
      <c r="B32" s="142">
        <v>0.9</v>
      </c>
      <c r="C32" s="143">
        <v>0.25138907045651571</v>
      </c>
      <c r="D32" s="143">
        <v>0.30292622580907969</v>
      </c>
      <c r="E32" s="143">
        <v>2.1978324749181877E-2</v>
      </c>
      <c r="F32" s="144">
        <f t="shared" si="0"/>
        <v>0.31810652385265681</v>
      </c>
    </row>
    <row r="33" spans="2:6">
      <c r="B33" s="145">
        <v>1</v>
      </c>
      <c r="C33" s="143">
        <v>0.27487674495168413</v>
      </c>
      <c r="D33" s="143">
        <v>0.33658469534342189</v>
      </c>
      <c r="E33" s="143">
        <v>-8.3463978968761898E-3</v>
      </c>
      <c r="F33" s="144">
        <f t="shared" si="0"/>
        <v>0.37191892099388335</v>
      </c>
    </row>
    <row r="34" spans="2:6">
      <c r="B34" s="94"/>
      <c r="C34" s="94"/>
      <c r="E34" s="101"/>
    </row>
    <row r="35" spans="2:6">
      <c r="B35" s="94"/>
      <c r="C35" s="94"/>
      <c r="E35" s="101"/>
    </row>
    <row r="36" spans="2:6">
      <c r="B36" s="94"/>
      <c r="C36" s="94"/>
      <c r="E36" s="101"/>
    </row>
    <row r="37" spans="2:6">
      <c r="B37" s="94"/>
      <c r="C37" s="94"/>
      <c r="E37" s="101"/>
    </row>
    <row r="38" spans="2:6">
      <c r="B38" s="94"/>
      <c r="C38" s="94"/>
      <c r="E38" s="101"/>
    </row>
    <row r="39" spans="2:6">
      <c r="B39" s="94"/>
      <c r="C39" s="94"/>
      <c r="E39" s="101"/>
    </row>
    <row r="40" spans="2:6">
      <c r="B40" s="94"/>
      <c r="C40" s="94"/>
      <c r="E40" s="101"/>
    </row>
    <row r="41" spans="2:6">
      <c r="B41" s="94"/>
      <c r="C41" s="94"/>
      <c r="E41" s="101"/>
    </row>
    <row r="42" spans="2:6">
      <c r="B42" s="94"/>
      <c r="C42" s="94"/>
      <c r="E42" s="101"/>
    </row>
    <row r="43" spans="2:6">
      <c r="B43" s="99"/>
      <c r="C43" s="99"/>
      <c r="E43" s="101"/>
    </row>
    <row r="44" spans="2:6">
      <c r="E44" s="101"/>
    </row>
    <row r="45" spans="2:6">
      <c r="E45" s="101"/>
    </row>
    <row r="46" spans="2:6">
      <c r="E46" s="101"/>
    </row>
    <row r="47" spans="2:6">
      <c r="E47" s="101"/>
    </row>
  </sheetData>
  <pageMargins left="0.25" right="0.25" top="0.75" bottom="0.75" header="0.3" footer="0.3"/>
  <pageSetup scale="53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60FDF-70B1-9E43-B59B-762D687F23F5}">
  <sheetPr>
    <pageSetUpPr fitToPage="1"/>
  </sheetPr>
  <dimension ref="A1:M37"/>
  <sheetViews>
    <sheetView showGridLines="0" tabSelected="1" topLeftCell="D1" zoomScale="57" zoomScaleNormal="133" workbookViewId="0">
      <selection activeCell="Q50" sqref="Q50"/>
    </sheetView>
  </sheetViews>
  <sheetFormatPr baseColWidth="10" defaultColWidth="8.83203125" defaultRowHeight="16"/>
  <cols>
    <col min="1" max="1" width="2.33203125" style="92" customWidth="1"/>
    <col min="2" max="2" width="21.5" style="92" customWidth="1"/>
    <col min="3" max="3" width="26.5" style="92" customWidth="1"/>
    <col min="4" max="6" width="25" style="92" customWidth="1"/>
    <col min="7" max="7" width="3" style="92" customWidth="1"/>
    <col min="8" max="8" width="14.33203125" style="92" customWidth="1"/>
    <col min="9" max="16384" width="8.83203125" style="92"/>
  </cols>
  <sheetData>
    <row r="1" spans="2:12" ht="17" thickBot="1"/>
    <row r="2" spans="2:12" ht="30">
      <c r="B2" s="272" t="s">
        <v>54</v>
      </c>
      <c r="C2" s="273"/>
      <c r="D2" s="273"/>
      <c r="E2" s="273"/>
      <c r="F2" s="274"/>
    </row>
    <row r="3" spans="2:12" ht="21" thickBot="1">
      <c r="B3" s="275" t="s">
        <v>55</v>
      </c>
      <c r="C3" s="276"/>
      <c r="D3" s="276"/>
      <c r="E3" s="276"/>
      <c r="F3" s="277"/>
    </row>
    <row r="4" spans="2:12">
      <c r="C4" s="93"/>
      <c r="D4" s="93"/>
      <c r="E4" s="93"/>
      <c r="F4" s="94"/>
    </row>
    <row r="5" spans="2:12">
      <c r="B5" s="254" t="s">
        <v>56</v>
      </c>
      <c r="C5" s="256" t="s">
        <v>57</v>
      </c>
      <c r="D5" s="256" t="s">
        <v>24</v>
      </c>
      <c r="E5" s="256" t="s">
        <v>58</v>
      </c>
      <c r="F5" s="256" t="s">
        <v>59</v>
      </c>
      <c r="H5" s="264" t="s">
        <v>146</v>
      </c>
      <c r="I5" s="265"/>
      <c r="J5" s="265"/>
      <c r="K5" s="265"/>
      <c r="L5" s="265"/>
    </row>
    <row r="6" spans="2:12">
      <c r="B6" s="130" t="s">
        <v>86</v>
      </c>
      <c r="C6" s="337">
        <f>'Data. Securities'!E7+'Data. Securities'!L7</f>
        <v>-0.11534389592283142</v>
      </c>
      <c r="D6" s="113">
        <f>'Data. Securities'!L8</f>
        <v>0.15055577040639262</v>
      </c>
      <c r="E6" s="343">
        <f>CORREL('Data. Securities'!AF39:AF97,'Data. Securities'!AI39:AI97)</f>
        <v>0.49915739776872226</v>
      </c>
      <c r="F6" s="343">
        <f>$D$6*$D$7*$E$6</f>
        <v>2.5294685384532216E-2</v>
      </c>
    </row>
    <row r="7" spans="2:12">
      <c r="B7" s="130" t="s">
        <v>85</v>
      </c>
      <c r="C7" s="113">
        <f>'Security Allocation'!C56+C8</f>
        <v>0.27487674495168413</v>
      </c>
      <c r="D7" s="113">
        <f>'Security Allocation'!C57</f>
        <v>0.33658469534342189</v>
      </c>
      <c r="E7" s="344"/>
      <c r="F7" s="344"/>
    </row>
    <row r="8" spans="2:12">
      <c r="B8" s="130" t="s">
        <v>60</v>
      </c>
      <c r="C8" s="113">
        <f>'Capital Allocation'!D6</f>
        <v>0.04</v>
      </c>
      <c r="D8" s="113">
        <v>0</v>
      </c>
      <c r="E8" s="95"/>
    </row>
    <row r="9" spans="2:12">
      <c r="B9" s="96"/>
      <c r="C9" s="97"/>
      <c r="D9" s="97"/>
      <c r="E9" s="97"/>
      <c r="F9" s="98"/>
    </row>
    <row r="10" spans="2:12">
      <c r="B10" s="341" t="s">
        <v>61</v>
      </c>
      <c r="C10" s="342"/>
      <c r="D10" s="266"/>
      <c r="E10" s="266"/>
      <c r="F10" s="266" t="s">
        <v>62</v>
      </c>
    </row>
    <row r="11" spans="2:12">
      <c r="B11" s="256" t="s">
        <v>63</v>
      </c>
      <c r="C11" s="267" t="s">
        <v>64</v>
      </c>
      <c r="D11" s="256" t="s">
        <v>57</v>
      </c>
      <c r="E11" s="256" t="s">
        <v>24</v>
      </c>
      <c r="F11" s="256" t="s">
        <v>65</v>
      </c>
    </row>
    <row r="12" spans="2:12">
      <c r="B12" s="145">
        <v>1</v>
      </c>
      <c r="C12" s="146">
        <v>0</v>
      </c>
      <c r="D12" s="114">
        <f>$C$6*$B12+$C$7*$C12</f>
        <v>-0.11534389592283142</v>
      </c>
      <c r="E12" s="114">
        <f>($B12^2*$D$6^2+$C12^2*$D$7^2+2*$B12*$C12*$F$6)^0.5</f>
        <v>0.15055577040639262</v>
      </c>
      <c r="F12" s="114">
        <f>(D12-$C$8)/E12</f>
        <v>-1.0318030023260769</v>
      </c>
    </row>
    <row r="13" spans="2:12">
      <c r="B13" s="145">
        <v>0.9</v>
      </c>
      <c r="C13" s="146">
        <v>0.1</v>
      </c>
      <c r="D13" s="114">
        <f t="shared" ref="D13:D22" si="0">$C$6*$B13+$C$7*$C13</f>
        <v>-7.6321831835379869E-2</v>
      </c>
      <c r="E13" s="114">
        <f t="shared" ref="E13:E22" si="1">($B13^2*$D$6^2+$C13^2*$D$7^2+2*$B13*$C13*$F$6)^0.5</f>
        <v>0.15506849564875064</v>
      </c>
      <c r="F13" s="114">
        <f t="shared" ref="F13:F22" si="2">(D13-$C$8)/E13</f>
        <v>-0.75013194233123426</v>
      </c>
    </row>
    <row r="14" spans="2:12">
      <c r="B14" s="145">
        <v>0.8</v>
      </c>
      <c r="C14" s="146">
        <v>0.2</v>
      </c>
      <c r="D14" s="114">
        <f t="shared" si="0"/>
        <v>-3.7299767747928321E-2</v>
      </c>
      <c r="E14" s="114">
        <f t="shared" si="1"/>
        <v>0.16472029386305509</v>
      </c>
      <c r="F14" s="114">
        <f t="shared" si="2"/>
        <v>-0.46927895728618407</v>
      </c>
    </row>
    <row r="15" spans="2:12">
      <c r="B15" s="145">
        <v>0.7</v>
      </c>
      <c r="C15" s="146">
        <v>0.3</v>
      </c>
      <c r="D15" s="114">
        <f t="shared" si="0"/>
        <v>1.722296339523241E-3</v>
      </c>
      <c r="E15" s="114">
        <f t="shared" si="1"/>
        <v>0.17868030279064417</v>
      </c>
      <c r="F15" s="114">
        <f t="shared" si="2"/>
        <v>-0.21422452874017073</v>
      </c>
    </row>
    <row r="16" spans="2:12">
      <c r="B16" s="338">
        <v>0.6</v>
      </c>
      <c r="C16" s="339">
        <v>0.4</v>
      </c>
      <c r="D16" s="340">
        <f t="shared" si="0"/>
        <v>4.0744360426974796E-2</v>
      </c>
      <c r="E16" s="340">
        <f t="shared" si="1"/>
        <v>0.19603026431610451</v>
      </c>
      <c r="F16" s="340">
        <f t="shared" si="2"/>
        <v>3.7971709601660915E-3</v>
      </c>
    </row>
    <row r="17" spans="1:13">
      <c r="B17" s="145">
        <v>0.5</v>
      </c>
      <c r="C17" s="146">
        <v>0.5</v>
      </c>
      <c r="D17" s="114">
        <f t="shared" si="0"/>
        <v>7.9766424514426351E-2</v>
      </c>
      <c r="E17" s="114">
        <f t="shared" si="1"/>
        <v>0.21595466417233905</v>
      </c>
      <c r="F17" s="114">
        <f t="shared" si="2"/>
        <v>0.18414246650718974</v>
      </c>
    </row>
    <row r="18" spans="1:13">
      <c r="B18" s="145">
        <v>0.4</v>
      </c>
      <c r="C18" s="146">
        <v>0.6</v>
      </c>
      <c r="D18" s="114">
        <f t="shared" si="0"/>
        <v>0.11878848860187788</v>
      </c>
      <c r="E18" s="114">
        <f t="shared" si="1"/>
        <v>0.23780729163588349</v>
      </c>
      <c r="F18" s="114">
        <f t="shared" si="2"/>
        <v>0.33131233302347246</v>
      </c>
    </row>
    <row r="19" spans="1:13">
      <c r="B19" s="145">
        <v>0.3</v>
      </c>
      <c r="C19" s="146">
        <v>0.7</v>
      </c>
      <c r="D19" s="114">
        <f t="shared" si="0"/>
        <v>0.15781055268932945</v>
      </c>
      <c r="E19" s="114">
        <f t="shared" si="1"/>
        <v>0.26110445699003487</v>
      </c>
      <c r="F19" s="114">
        <f t="shared" si="2"/>
        <v>0.45120084906794877</v>
      </c>
    </row>
    <row r="20" spans="1:13">
      <c r="B20" s="145">
        <v>0.2</v>
      </c>
      <c r="C20" s="146">
        <v>0.8</v>
      </c>
      <c r="D20" s="114">
        <f t="shared" si="0"/>
        <v>0.19683261677678102</v>
      </c>
      <c r="E20" s="114">
        <f t="shared" si="1"/>
        <v>0.28549274157566296</v>
      </c>
      <c r="F20" s="114">
        <f t="shared" si="2"/>
        <v>0.54934011951129169</v>
      </c>
    </row>
    <row r="21" spans="1:13">
      <c r="B21" s="145">
        <v>0.1</v>
      </c>
      <c r="C21" s="146">
        <v>0.9</v>
      </c>
      <c r="D21" s="114">
        <f t="shared" si="0"/>
        <v>0.23585468086423259</v>
      </c>
      <c r="E21" s="114">
        <f t="shared" si="1"/>
        <v>0.31071532316925726</v>
      </c>
      <c r="F21" s="114">
        <f t="shared" si="2"/>
        <v>0.6303347992835997</v>
      </c>
    </row>
    <row r="22" spans="1:13">
      <c r="B22" s="147">
        <v>0</v>
      </c>
      <c r="C22" s="148">
        <v>1</v>
      </c>
      <c r="D22" s="149">
        <f t="shared" si="0"/>
        <v>0.27487674495168413</v>
      </c>
      <c r="E22" s="150">
        <f t="shared" si="1"/>
        <v>0.33658469534342189</v>
      </c>
      <c r="F22" s="150">
        <f t="shared" si="2"/>
        <v>0.69782360339360117</v>
      </c>
    </row>
    <row r="23" spans="1:13">
      <c r="B23" s="264" t="s">
        <v>142</v>
      </c>
      <c r="C23" s="268"/>
      <c r="D23" s="256" t="s">
        <v>57</v>
      </c>
      <c r="E23" s="256" t="s">
        <v>106</v>
      </c>
      <c r="F23" s="269" t="s">
        <v>25</v>
      </c>
    </row>
    <row r="24" spans="1:13">
      <c r="A24" s="93"/>
      <c r="B24" s="116">
        <v>0.60190753743631931</v>
      </c>
      <c r="C24" s="117">
        <f>1-$B$24</f>
        <v>0.39809246256368069</v>
      </c>
      <c r="D24" s="114">
        <f>$C$6*$B24+$C$7*$C24</f>
        <v>3.9999999946082151E-2</v>
      </c>
      <c r="E24" s="128">
        <f>((($B$24^2)*($D$6^2))+(($C$24^2)*($D$7^2))+(2*$B$24*$C$24*$F$6))^0.5</f>
        <v>0.19567288519931131</v>
      </c>
      <c r="F24" s="114">
        <f>(D24-$C$8)/E24</f>
        <v>-2.7555094972415893E-10</v>
      </c>
      <c r="G24" s="100" t="s">
        <v>66</v>
      </c>
    </row>
    <row r="25" spans="1:13">
      <c r="A25" s="103"/>
      <c r="B25" s="270" t="s">
        <v>67</v>
      </c>
      <c r="C25" s="271"/>
      <c r="D25" s="256" t="s">
        <v>57</v>
      </c>
      <c r="E25" s="256" t="s">
        <v>24</v>
      </c>
      <c r="F25" s="269" t="s">
        <v>68</v>
      </c>
      <c r="G25" s="101"/>
    </row>
    <row r="26" spans="1:13">
      <c r="A26" s="103"/>
      <c r="B26" s="118">
        <v>0</v>
      </c>
      <c r="C26" s="119">
        <f>1-B26</f>
        <v>1</v>
      </c>
      <c r="D26" s="114">
        <f>$C$6*$B26+$C$7*$C26</f>
        <v>0.27487674495168413</v>
      </c>
      <c r="E26" s="114">
        <f>((($B$26^2)*($D$6^2))+(($C$26^2)*($D$7^2))+(2*$B$26*$C$26*$F$6))^0.5</f>
        <v>0.33658469534342189</v>
      </c>
      <c r="F26" s="128">
        <f>(D26-$C$8)/E26</f>
        <v>0.69782360339360117</v>
      </c>
      <c r="G26" s="100" t="s">
        <v>66</v>
      </c>
    </row>
    <row r="27" spans="1:13">
      <c r="A27" s="103"/>
      <c r="B27" s="104"/>
      <c r="C27" s="105"/>
      <c r="D27" s="101"/>
      <c r="E27" s="102"/>
      <c r="F27" s="106"/>
    </row>
    <row r="28" spans="1:13">
      <c r="B28" s="270" t="s">
        <v>91</v>
      </c>
      <c r="C28" s="270"/>
      <c r="D28" s="256"/>
    </row>
    <row r="29" spans="1:13">
      <c r="B29" s="101" t="s">
        <v>69</v>
      </c>
      <c r="D29" s="107">
        <f>(D26-C8)/('Capital Allocation'!D17*E26^2)</f>
        <v>0.41464963383531289</v>
      </c>
    </row>
    <row r="30" spans="1:13">
      <c r="B30" s="108" t="s">
        <v>70</v>
      </c>
      <c r="C30" s="97"/>
      <c r="D30" s="109">
        <f>1-D29</f>
        <v>0.58535036616468705</v>
      </c>
    </row>
    <row r="31" spans="1:13">
      <c r="B31" s="101" t="s">
        <v>71</v>
      </c>
      <c r="D31" s="110">
        <f>D29*B26</f>
        <v>0</v>
      </c>
    </row>
    <row r="32" spans="1:13">
      <c r="B32" s="108" t="s">
        <v>72</v>
      </c>
      <c r="C32" s="97"/>
      <c r="D32" s="111">
        <f>D29*C26</f>
        <v>0.41464963383531289</v>
      </c>
      <c r="I32" s="223"/>
      <c r="J32" s="224"/>
      <c r="K32" s="224"/>
      <c r="L32" s="224"/>
      <c r="M32" s="224"/>
    </row>
    <row r="33" spans="2:4">
      <c r="B33" s="101" t="s">
        <v>107</v>
      </c>
      <c r="D33" s="129">
        <f>D29*D26+D30*C8</f>
        <v>0.13739155629064601</v>
      </c>
    </row>
    <row r="34" spans="2:4">
      <c r="B34" s="101" t="s">
        <v>108</v>
      </c>
      <c r="D34" s="129">
        <f>D29*E26</f>
        <v>0.13956472067872022</v>
      </c>
    </row>
    <row r="35" spans="2:4">
      <c r="B35" s="101" t="s">
        <v>75</v>
      </c>
      <c r="D35" s="114">
        <f>(D33-C8)/D34</f>
        <v>0.69782360339360128</v>
      </c>
    </row>
    <row r="37" spans="2:4">
      <c r="C37" s="92" t="s">
        <v>76</v>
      </c>
    </row>
  </sheetData>
  <mergeCells count="3">
    <mergeCell ref="B10:C10"/>
    <mergeCell ref="E6:E7"/>
    <mergeCell ref="F6:F7"/>
  </mergeCells>
  <printOptions headings="1" gridLines="1"/>
  <pageMargins left="0.25" right="0.25" top="0.75" bottom="0.75" header="0.3" footer="0.3"/>
  <pageSetup scale="67" orientation="landscape" horizontalDpi="300" verticalDpi="300" r:id="rId1"/>
  <headerFooter alignWithMargins="0">
    <oddHeader>&amp;A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CB5A-0308-9D44-928C-B6B9ECB64DBD}">
  <sheetPr>
    <tabColor rgb="FFFFFF00"/>
    <pageSetUpPr fitToPage="1"/>
  </sheetPr>
  <dimension ref="B1:K70"/>
  <sheetViews>
    <sheetView showGridLines="0" zoomScale="50" zoomScaleNormal="50" zoomScalePageLayoutView="120" workbookViewId="0">
      <selection activeCell="J33" sqref="J33"/>
    </sheetView>
  </sheetViews>
  <sheetFormatPr baseColWidth="10" defaultColWidth="12.5" defaultRowHeight="16"/>
  <cols>
    <col min="1" max="1" width="2.83203125" style="3" customWidth="1"/>
    <col min="2" max="2" width="42.1640625" style="3" customWidth="1"/>
    <col min="3" max="5" width="15.83203125" style="3" customWidth="1"/>
    <col min="6" max="11" width="13.83203125" style="3" customWidth="1"/>
    <col min="12" max="16384" width="12.5" style="3"/>
  </cols>
  <sheetData>
    <row r="1" spans="2:11" ht="17" thickBot="1"/>
    <row r="2" spans="2:11" s="2" customFormat="1" ht="31" thickBot="1">
      <c r="B2" s="282" t="s">
        <v>109</v>
      </c>
      <c r="C2" s="283"/>
      <c r="D2" s="283"/>
      <c r="E2" s="283"/>
      <c r="F2" s="284"/>
      <c r="G2" s="285"/>
      <c r="H2" s="1"/>
      <c r="I2" s="1"/>
      <c r="J2" s="1"/>
      <c r="K2" s="1"/>
    </row>
    <row r="3" spans="2:11">
      <c r="B3" s="4"/>
      <c r="C3" s="4"/>
      <c r="D3" s="4"/>
      <c r="E3" s="5"/>
      <c r="F3" s="4"/>
      <c r="G3" s="4"/>
      <c r="H3" s="5"/>
    </row>
    <row r="4" spans="2:11" ht="34">
      <c r="B4" s="286" t="s">
        <v>0</v>
      </c>
      <c r="C4" s="287" t="s">
        <v>210</v>
      </c>
      <c r="D4" s="287" t="str">
        <f>'Data. Securities'!G6</f>
        <v>V</v>
      </c>
      <c r="E4" s="287" t="str">
        <f>'Data. Securities'!H6</f>
        <v>MA</v>
      </c>
      <c r="F4" s="287" t="str">
        <f>'Data. Securities'!I6</f>
        <v>TSM</v>
      </c>
      <c r="G4" s="287" t="str">
        <f>'Data. Securities'!J6</f>
        <v>GOOGL</v>
      </c>
      <c r="H4" s="287" t="str">
        <f>'Data. Securities'!K6</f>
        <v>NVDA</v>
      </c>
      <c r="I4" s="87"/>
    </row>
    <row r="5" spans="2:11" ht="17">
      <c r="B5" s="6" t="s">
        <v>1</v>
      </c>
      <c r="C5" s="8">
        <f>'Data. Securities'!F17</f>
        <v>1</v>
      </c>
      <c r="D5" s="8">
        <f>'Data. Securities'!G17</f>
        <v>0.57998559580119302</v>
      </c>
      <c r="E5" s="8">
        <f>'Data. Securities'!H17</f>
        <v>0.63469353073860157</v>
      </c>
      <c r="F5" s="8">
        <f>'Data. Securities'!I17</f>
        <v>1.1525126953660276</v>
      </c>
      <c r="G5" s="8">
        <f>'Data. Securities'!J17</f>
        <v>0.91485133174769639</v>
      </c>
      <c r="H5" s="8">
        <f>'Data. Securities'!K17</f>
        <v>1.9568273475577385</v>
      </c>
      <c r="I5" s="7"/>
    </row>
    <row r="6" spans="2:11" ht="17">
      <c r="B6" s="6" t="s">
        <v>2</v>
      </c>
      <c r="C6" s="8">
        <f>'Data. Securities'!F8</f>
        <v>0.20793810808381816</v>
      </c>
      <c r="D6" s="8">
        <f>'Data. Securities'!G8</f>
        <v>0.2264541671765003</v>
      </c>
      <c r="E6" s="8">
        <f>'Data. Securities'!H8</f>
        <v>0.25197244709600858</v>
      </c>
      <c r="F6" s="8">
        <f>'Data. Securities'!I8</f>
        <v>0.37745676852088145</v>
      </c>
      <c r="G6" s="8">
        <f>'Data. Securities'!J8</f>
        <v>0.27133133425878037</v>
      </c>
      <c r="H6" s="8">
        <f>'Data. Securities'!K8</f>
        <v>0.50993550567674129</v>
      </c>
      <c r="I6" s="7"/>
    </row>
    <row r="7" spans="2:11" ht="17">
      <c r="B7" s="6" t="s">
        <v>3</v>
      </c>
      <c r="C7" s="8">
        <f>'Data. Securities'!F10</f>
        <v>0</v>
      </c>
      <c r="D7" s="8">
        <f>'Data. Securities'!G10</f>
        <v>0.19166862732263665</v>
      </c>
      <c r="E7" s="8">
        <f>'Data. Securities'!H10</f>
        <v>0.21464434061635171</v>
      </c>
      <c r="F7" s="8">
        <f>'Data. Securities'!I10</f>
        <v>0.39916163317142039</v>
      </c>
      <c r="G7" s="8">
        <f>'Data. Securities'!J10</f>
        <v>0.19347430314301775</v>
      </c>
      <c r="H7" s="8">
        <f>'Data. Securities'!K10</f>
        <v>0.3073555642489823</v>
      </c>
      <c r="I7" s="7"/>
    </row>
    <row r="8" spans="2:11" ht="17">
      <c r="B8" s="6" t="s">
        <v>4</v>
      </c>
      <c r="C8" s="8">
        <f>C5*$C$6</f>
        <v>0.20793810808381816</v>
      </c>
      <c r="D8" s="8">
        <f t="shared" ref="D8:H8" si="0">D5*$C$6</f>
        <v>0.12060110750676614</v>
      </c>
      <c r="E8" s="8">
        <f t="shared" si="0"/>
        <v>0.1319769719948235</v>
      </c>
      <c r="F8" s="8">
        <f t="shared" si="0"/>
        <v>0.23965130941699364</v>
      </c>
      <c r="G8" s="8">
        <f t="shared" si="0"/>
        <v>0.19023245510157746</v>
      </c>
      <c r="H8" s="8">
        <f t="shared" si="0"/>
        <v>0.40689897649783224</v>
      </c>
      <c r="I8" s="7"/>
    </row>
    <row r="9" spans="2:11" ht="17">
      <c r="B9" s="6" t="s">
        <v>5</v>
      </c>
      <c r="C9" s="8">
        <f t="shared" ref="C9:H9" si="1">C5*$C$6/C6</f>
        <v>1</v>
      </c>
      <c r="D9" s="8">
        <f t="shared" si="1"/>
        <v>0.53256298619035181</v>
      </c>
      <c r="E9" s="8">
        <f t="shared" si="1"/>
        <v>0.52377541082710743</v>
      </c>
      <c r="F9" s="8">
        <f t="shared" si="1"/>
        <v>0.63491061600538179</v>
      </c>
      <c r="G9" s="8">
        <f t="shared" si="1"/>
        <v>0.70110757985712258</v>
      </c>
      <c r="H9" s="8">
        <f t="shared" si="1"/>
        <v>0.79794203770500727</v>
      </c>
      <c r="I9" s="7"/>
    </row>
    <row r="10" spans="2:11">
      <c r="B10" s="9"/>
      <c r="C10" s="7"/>
      <c r="D10" s="7"/>
      <c r="E10" s="7"/>
      <c r="F10" s="7"/>
      <c r="G10" s="7"/>
      <c r="H10" s="7"/>
      <c r="I10" s="7"/>
    </row>
    <row r="11" spans="2:11">
      <c r="B11" s="288" t="s">
        <v>6</v>
      </c>
      <c r="C11" s="287" t="str">
        <f>C4</f>
        <v>QQQ</v>
      </c>
      <c r="D11" s="287" t="str">
        <f t="shared" ref="D11:H11" si="2">D4</f>
        <v>V</v>
      </c>
      <c r="E11" s="287" t="str">
        <f t="shared" si="2"/>
        <v>MA</v>
      </c>
      <c r="F11" s="287" t="str">
        <f t="shared" si="2"/>
        <v>TSM</v>
      </c>
      <c r="G11" s="287" t="str">
        <f t="shared" si="2"/>
        <v>GOOGL</v>
      </c>
      <c r="H11" s="287" t="str">
        <f t="shared" si="2"/>
        <v>NVDA</v>
      </c>
      <c r="I11" s="87"/>
    </row>
    <row r="12" spans="2:11">
      <c r="B12" s="11" t="str" cm="1">
        <f t="array" ref="B12:B17">TRANSPOSE(C11:H11)</f>
        <v>QQQ</v>
      </c>
      <c r="C12" s="74">
        <f>'Data. Securities'!P7</f>
        <v>1</v>
      </c>
      <c r="D12" s="74"/>
      <c r="E12" s="74"/>
      <c r="F12" s="74"/>
      <c r="G12" s="74"/>
      <c r="H12" s="74"/>
      <c r="I12" s="88"/>
    </row>
    <row r="13" spans="2:11">
      <c r="B13" s="11" t="str">
        <v>V</v>
      </c>
      <c r="C13" s="74">
        <f>'Data. Securities'!P8</f>
        <v>0.53256298619035181</v>
      </c>
      <c r="D13" s="74">
        <f>'Data. Securities'!Q8</f>
        <v>1</v>
      </c>
      <c r="E13" s="74"/>
      <c r="F13" s="74"/>
      <c r="G13" s="74"/>
      <c r="H13" s="74"/>
      <c r="I13" s="88"/>
    </row>
    <row r="14" spans="2:11">
      <c r="B14" s="11" t="str">
        <v>MA</v>
      </c>
      <c r="C14" s="74">
        <f>'Data. Securities'!P9</f>
        <v>0.52377541082710743</v>
      </c>
      <c r="D14" s="74">
        <f>'Data. Securities'!Q9</f>
        <v>0.27894339688316266</v>
      </c>
      <c r="E14" s="74">
        <f>'Data. Securities'!R9</f>
        <v>1</v>
      </c>
      <c r="F14" s="74"/>
      <c r="G14" s="74"/>
      <c r="H14" s="74"/>
      <c r="I14" s="88"/>
    </row>
    <row r="15" spans="2:11">
      <c r="B15" s="11" t="str">
        <v>TSM</v>
      </c>
      <c r="C15" s="74">
        <f>'Data. Securities'!P10</f>
        <v>0.63491061600538179</v>
      </c>
      <c r="D15" s="74">
        <f>'Data. Securities'!Q10</f>
        <v>0.33812989362378187</v>
      </c>
      <c r="E15" s="74">
        <f>'Data. Securities'!R10</f>
        <v>0.33255056873671068</v>
      </c>
      <c r="F15" s="74">
        <f>'Data. Securities'!S10</f>
        <v>1</v>
      </c>
      <c r="G15" s="74"/>
      <c r="H15" s="74"/>
      <c r="I15" s="88"/>
    </row>
    <row r="16" spans="2:11">
      <c r="B16" s="11" t="str">
        <v>GOOGL</v>
      </c>
      <c r="C16" s="74">
        <f>'Data. Securities'!P11</f>
        <v>0.70110757985712246</v>
      </c>
      <c r="D16" s="74">
        <f>'Data. Securities'!Q11</f>
        <v>0.3733839463693997</v>
      </c>
      <c r="E16" s="74">
        <f>'Data. Securities'!R11</f>
        <v>0.36722291067366336</v>
      </c>
      <c r="F16" s="74">
        <f>'Data. Securities'!S11</f>
        <v>0.44514064541312803</v>
      </c>
      <c r="G16" s="74">
        <f>'Data. Securities'!T11</f>
        <v>1</v>
      </c>
      <c r="H16" s="74"/>
      <c r="I16" s="88"/>
    </row>
    <row r="17" spans="2:10">
      <c r="B17" s="11" t="str">
        <v>NVDA</v>
      </c>
      <c r="C17" s="74">
        <f>'Data. Securities'!P12</f>
        <v>0.79794203770500727</v>
      </c>
      <c r="D17" s="74">
        <f>'Data. Securities'!Q12</f>
        <v>0.42495439440699295</v>
      </c>
      <c r="E17" s="74">
        <f>'Data. Securities'!R12</f>
        <v>0.41794241861515941</v>
      </c>
      <c r="F17" s="74">
        <f>'Data. Securities'!S12</f>
        <v>0.50662187069587572</v>
      </c>
      <c r="G17" s="74">
        <f>'Data. Securities'!T12</f>
        <v>0.55944321092161842</v>
      </c>
      <c r="H17" s="74">
        <f>'Data. Securities'!U12</f>
        <v>1</v>
      </c>
      <c r="I17" s="88"/>
    </row>
    <row r="18" spans="2:10">
      <c r="B18" s="9"/>
      <c r="C18" s="7"/>
      <c r="D18" s="7"/>
      <c r="E18" s="7"/>
      <c r="F18" s="7"/>
      <c r="G18" s="7"/>
      <c r="H18" s="7"/>
      <c r="I18" s="7"/>
    </row>
    <row r="19" spans="2:10">
      <c r="B19" s="288" t="s">
        <v>7</v>
      </c>
      <c r="C19" s="287" t="str">
        <f t="shared" ref="C19:H19" si="3">C4</f>
        <v>QQQ</v>
      </c>
      <c r="D19" s="287" t="str">
        <f t="shared" si="3"/>
        <v>V</v>
      </c>
      <c r="E19" s="287" t="str">
        <f t="shared" si="3"/>
        <v>MA</v>
      </c>
      <c r="F19" s="287" t="str">
        <f t="shared" si="3"/>
        <v>TSM</v>
      </c>
      <c r="G19" s="287" t="str">
        <f t="shared" si="3"/>
        <v>GOOGL</v>
      </c>
      <c r="H19" s="287" t="str">
        <f t="shared" si="3"/>
        <v>NVDA</v>
      </c>
      <c r="I19" s="89"/>
    </row>
    <row r="20" spans="2:10">
      <c r="B20" s="11" t="str" cm="1">
        <f t="array" ref="B20:B25">TRANSPOSE(C19:H19)</f>
        <v>QQQ</v>
      </c>
      <c r="C20" s="74">
        <f>'Data. Securities'!P16</f>
        <v>4.323825679347764E-2</v>
      </c>
      <c r="D20" s="74"/>
      <c r="E20" s="74"/>
      <c r="F20" s="74"/>
      <c r="G20" s="74"/>
      <c r="H20" s="74"/>
      <c r="I20" s="88"/>
    </row>
    <row r="21" spans="2:10">
      <c r="B21" s="11" t="str">
        <v>V</v>
      </c>
      <c r="C21" s="74">
        <f>'Data. Securities'!P17</f>
        <v>2.507756612777011E-2</v>
      </c>
      <c r="D21" s="74">
        <f>'Data. Securities'!Q17</f>
        <v>5.1281489831602342E-2</v>
      </c>
      <c r="E21" s="74"/>
      <c r="F21" s="74"/>
      <c r="G21" s="74"/>
      <c r="H21" s="74"/>
      <c r="I21" s="88"/>
    </row>
    <row r="22" spans="2:10">
      <c r="B22" s="11" t="str">
        <v>MA</v>
      </c>
      <c r="C22" s="74">
        <f>'Data. Securities'!P18</f>
        <v>2.744304186723465E-2</v>
      </c>
      <c r="D22" s="74">
        <f>'Data. Securities'!Q18</f>
        <v>1.5916568987965174E-2</v>
      </c>
      <c r="E22" s="74">
        <f>'Data. Securities'!R18</f>
        <v>6.3490114095550845E-2</v>
      </c>
      <c r="F22" s="74"/>
      <c r="G22" s="74"/>
      <c r="H22" s="74"/>
      <c r="I22" s="88"/>
    </row>
    <row r="23" spans="2:10">
      <c r="B23" s="11" t="str">
        <v>TSM</v>
      </c>
      <c r="C23" s="74">
        <f>'Data. Securities'!P19</f>
        <v>4.9832639879979372E-2</v>
      </c>
      <c r="D23" s="74">
        <f>'Data. Securities'!Q19</f>
        <v>2.8902213331136125E-2</v>
      </c>
      <c r="E23" s="74">
        <f>'Data. Securities'!R19</f>
        <v>3.1628454151449346E-2</v>
      </c>
      <c r="F23" s="74">
        <f>'Data. Securities'!S19</f>
        <v>0.14247361210222628</v>
      </c>
      <c r="G23" s="74"/>
      <c r="H23" s="74"/>
      <c r="I23" s="88"/>
    </row>
    <row r="24" spans="2:10">
      <c r="B24" s="11" t="str">
        <v>GOOGL</v>
      </c>
      <c r="C24" s="74">
        <f>'Data. Securities'!P20</f>
        <v>3.9556576809961899E-2</v>
      </c>
      <c r="D24" s="74">
        <f>'Data. Securities'!Q20</f>
        <v>2.2942244768981407E-2</v>
      </c>
      <c r="E24" s="74">
        <f>'Data. Securities'!R20</f>
        <v>2.5106303399447406E-2</v>
      </c>
      <c r="F24" s="74">
        <f>'Data. Securities'!S20</f>
        <v>3.9556576809961899E-2</v>
      </c>
      <c r="G24" s="74">
        <f>'Data. Securities'!T20</f>
        <v>7.3620692950650005E-2</v>
      </c>
      <c r="H24" s="74"/>
      <c r="I24" s="88"/>
    </row>
    <row r="25" spans="2:10">
      <c r="B25" s="11" t="str">
        <v>NVDA</v>
      </c>
      <c r="C25" s="74">
        <f>'Data. Securities'!P21</f>
        <v>8.4609803354201221E-2</v>
      </c>
      <c r="D25" s="74">
        <f>'Data. Securities'!Q21</f>
        <v>4.9072467209008173E-2</v>
      </c>
      <c r="E25" s="74">
        <f>'Data. Securities'!R21</f>
        <v>5.3701294825976749E-2</v>
      </c>
      <c r="F25" s="74">
        <f>'Data. Securities'!S21</f>
        <v>9.7513872518140018E-2</v>
      </c>
      <c r="G25" s="74">
        <f>'Data. Securities'!T21</f>
        <v>7.7405391277501692E-2</v>
      </c>
      <c r="H25" s="74">
        <f>'Data. Securities'!U21</f>
        <v>0.26003421994979387</v>
      </c>
      <c r="I25" s="88"/>
    </row>
    <row r="26" spans="2:10">
      <c r="B26" s="9"/>
      <c r="C26" s="7"/>
      <c r="D26" s="7"/>
      <c r="E26" s="7"/>
      <c r="F26" s="7"/>
      <c r="G26" s="7"/>
      <c r="H26" s="7"/>
      <c r="I26" s="7"/>
    </row>
    <row r="27" spans="2:10">
      <c r="B27" s="289" t="s">
        <v>8</v>
      </c>
      <c r="C27" s="287" t="str">
        <f t="shared" ref="C27:H27" si="4">C19</f>
        <v>QQQ</v>
      </c>
      <c r="D27" s="287" t="str">
        <f t="shared" si="4"/>
        <v>V</v>
      </c>
      <c r="E27" s="287" t="str">
        <f t="shared" si="4"/>
        <v>MA</v>
      </c>
      <c r="F27" s="287" t="str">
        <f t="shared" si="4"/>
        <v>TSM</v>
      </c>
      <c r="G27" s="287" t="str">
        <f t="shared" si="4"/>
        <v>GOOGL</v>
      </c>
      <c r="H27" s="287" t="str">
        <f t="shared" si="4"/>
        <v>NVDA</v>
      </c>
      <c r="I27" s="89"/>
    </row>
    <row r="28" spans="2:10">
      <c r="B28" s="11" t="str">
        <f t="shared" ref="B28:B33" si="5">B20</f>
        <v>QQQ</v>
      </c>
      <c r="C28" s="75"/>
      <c r="D28" s="76"/>
      <c r="E28" s="76"/>
      <c r="F28" s="76"/>
      <c r="G28" s="76"/>
      <c r="H28" s="76"/>
      <c r="I28" s="90"/>
    </row>
    <row r="29" spans="2:10">
      <c r="B29" s="11" t="str">
        <f t="shared" si="5"/>
        <v>V</v>
      </c>
      <c r="C29" s="75"/>
      <c r="D29" s="76">
        <f>'Data. Securities'!Q26</f>
        <v>1</v>
      </c>
      <c r="E29" s="76"/>
      <c r="F29" s="76"/>
      <c r="G29" s="76"/>
      <c r="H29" s="76"/>
      <c r="I29" s="90"/>
      <c r="J29" s="12"/>
    </row>
    <row r="30" spans="2:10">
      <c r="B30" s="11" t="str">
        <f t="shared" si="5"/>
        <v>MA</v>
      </c>
      <c r="C30" s="75"/>
      <c r="D30" s="76">
        <f>'Data. Securities'!Q27</f>
        <v>0.89428849938544497</v>
      </c>
      <c r="E30" s="76">
        <f>'Data. Securities'!R27</f>
        <v>1</v>
      </c>
      <c r="F30" s="76"/>
      <c r="G30" s="76"/>
      <c r="H30" s="76"/>
      <c r="I30" s="90"/>
    </row>
    <row r="31" spans="2:10">
      <c r="B31" s="11" t="str">
        <f t="shared" si="5"/>
        <v>TSM</v>
      </c>
      <c r="C31" s="75"/>
      <c r="D31" s="76">
        <f>'Data. Securities'!Q28</f>
        <v>-0.39410540853656822</v>
      </c>
      <c r="E31" s="76">
        <f>'Data. Securities'!R28</f>
        <v>-0.34825931264363347</v>
      </c>
      <c r="F31" s="76">
        <f>'Data. Securities'!S28</f>
        <v>1</v>
      </c>
      <c r="G31" s="76"/>
      <c r="H31" s="76"/>
      <c r="I31" s="90"/>
    </row>
    <row r="32" spans="2:10">
      <c r="B32" s="11" t="str">
        <f t="shared" si="5"/>
        <v>GOOGL</v>
      </c>
      <c r="C32" s="75"/>
      <c r="D32" s="76">
        <f>'Data. Securities'!Q29</f>
        <v>-0.13862562547369248</v>
      </c>
      <c r="E32" s="76">
        <f>'Data. Securities'!R29</f>
        <v>-0.22212141097465676</v>
      </c>
      <c r="F32" s="76">
        <f>'Data. Securities'!S29</f>
        <v>0.19396612078242523</v>
      </c>
      <c r="G32" s="76">
        <f>'Data. Securities'!T29</f>
        <v>1</v>
      </c>
      <c r="H32" s="76"/>
      <c r="I32" s="90"/>
    </row>
    <row r="33" spans="2:10">
      <c r="B33" s="11" t="str">
        <f t="shared" si="5"/>
        <v>NVDA</v>
      </c>
      <c r="C33" s="75"/>
      <c r="D33" s="76">
        <f>'Data. Securities'!Q30</f>
        <v>-0.27614132474530384</v>
      </c>
      <c r="E33" s="76">
        <f>'Data. Securities'!R30</f>
        <v>-0.26699746263532248</v>
      </c>
      <c r="F33" s="76">
        <f>'Data. Securities'!S30</f>
        <v>0.18240408795928079</v>
      </c>
      <c r="G33" s="76">
        <f>'Data. Securities'!T30</f>
        <v>-3.9319653361430847E-2</v>
      </c>
      <c r="H33" s="76">
        <f>'Data. Securities'!U30</f>
        <v>1</v>
      </c>
      <c r="I33" s="90"/>
    </row>
    <row r="35" spans="2:10" ht="17">
      <c r="B35" s="290" t="s">
        <v>184</v>
      </c>
      <c r="C35" s="291" t="str">
        <f t="shared" ref="C35:H35" si="6">C4</f>
        <v>QQQ</v>
      </c>
      <c r="D35" s="291" t="str">
        <f t="shared" si="6"/>
        <v>V</v>
      </c>
      <c r="E35" s="291" t="str">
        <f t="shared" si="6"/>
        <v>MA</v>
      </c>
      <c r="F35" s="291" t="str">
        <f t="shared" si="6"/>
        <v>TSM</v>
      </c>
      <c r="G35" s="291" t="str">
        <f t="shared" si="6"/>
        <v>GOOGL</v>
      </c>
      <c r="H35" s="291" t="str">
        <f t="shared" si="6"/>
        <v>NVDA</v>
      </c>
      <c r="I35" s="91"/>
    </row>
    <row r="36" spans="2:10" s="14" customFormat="1">
      <c r="B36" s="13" t="s">
        <v>199</v>
      </c>
      <c r="C36" s="77">
        <f>'Data. Securities'!F14</f>
        <v>0</v>
      </c>
      <c r="D36" s="77">
        <f>'Data. Securities'!G16</f>
        <v>1.3286770042242126E-2</v>
      </c>
      <c r="E36" s="77">
        <f>'Data. Securities'!H16</f>
        <v>1.3810488910128546E-2</v>
      </c>
      <c r="F36" s="77">
        <f>'Data. Securities'!I16</f>
        <v>0.11008244378879264</v>
      </c>
      <c r="G36" s="77">
        <f>'Data. Securities'!J16</f>
        <v>4.4009966830187507E-2</v>
      </c>
      <c r="H36" s="77">
        <f>'Data. Securities'!K14</f>
        <v>0.22130897544894329</v>
      </c>
    </row>
    <row r="37" spans="2:10">
      <c r="B37" s="13" t="s">
        <v>1</v>
      </c>
      <c r="C37" s="78">
        <f t="shared" ref="C37:H37" si="7">C5</f>
        <v>1</v>
      </c>
      <c r="D37" s="78">
        <f t="shared" si="7"/>
        <v>0.57998559580119302</v>
      </c>
      <c r="E37" s="78">
        <f t="shared" si="7"/>
        <v>0.63469353073860157</v>
      </c>
      <c r="F37" s="78">
        <f t="shared" si="7"/>
        <v>1.1525126953660276</v>
      </c>
      <c r="G37" s="78">
        <f t="shared" si="7"/>
        <v>0.91485133174769639</v>
      </c>
      <c r="H37" s="78">
        <f t="shared" si="7"/>
        <v>1.9568273475577385</v>
      </c>
    </row>
    <row r="38" spans="2:10" ht="17" thickBot="1">
      <c r="B38" s="15" t="s">
        <v>132</v>
      </c>
      <c r="C38" s="78">
        <f t="shared" ref="C38:H38" si="8">C36+C37*$C$39</f>
        <v>7.1296698869288785E-2</v>
      </c>
      <c r="D38" s="79">
        <f>D36+D37*$C$39</f>
        <v>5.4637828414604822E-2</v>
      </c>
      <c r="E38" s="79">
        <f t="shared" si="8"/>
        <v>5.9062042445484304E-2</v>
      </c>
      <c r="F38" s="79">
        <f t="shared" si="8"/>
        <v>0.19225279437333667</v>
      </c>
      <c r="G38" s="79">
        <f t="shared" si="8"/>
        <v>0.10923584673997083</v>
      </c>
      <c r="H38" s="79">
        <f t="shared" si="8"/>
        <v>0.36082430558695644</v>
      </c>
    </row>
    <row r="39" spans="2:10" ht="17" thickBot="1">
      <c r="B39" s="16" t="s">
        <v>110</v>
      </c>
      <c r="C39" s="122">
        <f>'Data. Securities'!F7*'Data. Securities'!E27/'Data. Securities'!F27</f>
        <v>7.1296698869288785E-2</v>
      </c>
      <c r="D39" s="17"/>
      <c r="E39" s="17"/>
      <c r="F39" s="17"/>
      <c r="G39" s="17"/>
      <c r="H39" s="17"/>
      <c r="I39" s="17"/>
      <c r="J39" s="17"/>
    </row>
    <row r="40" spans="2:10">
      <c r="B40" s="4"/>
      <c r="C40" s="4"/>
      <c r="D40" s="4"/>
      <c r="E40" s="4"/>
      <c r="F40" s="5"/>
      <c r="G40" s="4"/>
      <c r="H40" s="4"/>
      <c r="I40" s="4"/>
      <c r="J40" s="4"/>
    </row>
    <row r="41" spans="2:10">
      <c r="B41" s="289" t="s">
        <v>9</v>
      </c>
      <c r="C41" s="289"/>
      <c r="D41" s="292"/>
      <c r="E41" s="293" t="s">
        <v>10</v>
      </c>
      <c r="F41" s="291" t="str">
        <f t="shared" ref="F41:J41" si="9">D35</f>
        <v>V</v>
      </c>
      <c r="G41" s="291" t="str">
        <f t="shared" si="9"/>
        <v>MA</v>
      </c>
      <c r="H41" s="291" t="str">
        <f t="shared" si="9"/>
        <v>TSM</v>
      </c>
      <c r="I41" s="291" t="str">
        <f t="shared" si="9"/>
        <v>GOOGL</v>
      </c>
      <c r="J41" s="291" t="str">
        <f t="shared" si="9"/>
        <v>NVDA</v>
      </c>
    </row>
    <row r="42" spans="2:10" ht="18">
      <c r="B42" s="13" t="s">
        <v>11</v>
      </c>
      <c r="C42" s="18" t="s">
        <v>95</v>
      </c>
      <c r="D42" s="19"/>
      <c r="E42" s="20"/>
      <c r="F42" s="78">
        <f>D7^2</f>
        <v>3.6736862699743779E-2</v>
      </c>
      <c r="G42" s="78">
        <f>E7^2</f>
        <v>4.6072192958628411E-2</v>
      </c>
      <c r="H42" s="78">
        <f>F7^2</f>
        <v>0.15933000939607558</v>
      </c>
      <c r="I42" s="78">
        <f>G7^2</f>
        <v>3.7432305976676329E-2</v>
      </c>
      <c r="J42" s="78">
        <f>H7^2</f>
        <v>9.4467442874810292E-2</v>
      </c>
    </row>
    <row r="43" spans="2:10" ht="18">
      <c r="B43" s="13" t="s">
        <v>12</v>
      </c>
      <c r="C43" s="18" t="s">
        <v>96</v>
      </c>
      <c r="D43" s="19"/>
      <c r="E43" s="80">
        <f>SUM(F43:K43)</f>
        <v>4.8707625664802361</v>
      </c>
      <c r="F43" s="78">
        <f t="shared" ref="F43:J43" si="10">D36/F42</f>
        <v>0.3616740534116103</v>
      </c>
      <c r="G43" s="78">
        <f t="shared" si="10"/>
        <v>0.2997575766043955</v>
      </c>
      <c r="H43" s="78">
        <f t="shared" si="10"/>
        <v>0.6909084120816229</v>
      </c>
      <c r="I43" s="78">
        <f t="shared" si="10"/>
        <v>1.1757214972972718</v>
      </c>
      <c r="J43" s="78">
        <f t="shared" si="10"/>
        <v>2.3427010270853352</v>
      </c>
    </row>
    <row r="44" spans="2:10">
      <c r="B44" s="13" t="s">
        <v>13</v>
      </c>
      <c r="C44" s="21" t="s">
        <v>97</v>
      </c>
      <c r="D44" s="19"/>
      <c r="E44" s="80">
        <f>SUM(F44:K44)</f>
        <v>1</v>
      </c>
      <c r="F44" s="78">
        <f>F43/$E$43</f>
        <v>7.4254092346974568E-2</v>
      </c>
      <c r="G44" s="78">
        <f>G43/$E$43</f>
        <v>6.1542227220697729E-2</v>
      </c>
      <c r="H44" s="78">
        <f>H43/$E$43</f>
        <v>0.14184809927635103</v>
      </c>
      <c r="I44" s="78">
        <f>I43/$E$43</f>
        <v>0.24138345510585718</v>
      </c>
      <c r="J44" s="78">
        <f>J43/$E$43</f>
        <v>0.48097212605011941</v>
      </c>
    </row>
    <row r="45" spans="2:10" ht="17">
      <c r="B45" s="15" t="s">
        <v>14</v>
      </c>
      <c r="C45" s="22" t="s">
        <v>98</v>
      </c>
      <c r="D45" s="23"/>
      <c r="E45" s="24"/>
      <c r="F45" s="79">
        <f>F44^2</f>
        <v>5.5136702302730272E-3</v>
      </c>
      <c r="G45" s="79">
        <f t="shared" ref="G45:J45" si="11">G44^2</f>
        <v>3.7874457312839886E-3</v>
      </c>
      <c r="H45" s="79">
        <f t="shared" si="11"/>
        <v>2.0120883268313537E-2</v>
      </c>
      <c r="I45" s="79">
        <f t="shared" si="11"/>
        <v>5.8265972398841369E-2</v>
      </c>
      <c r="J45" s="79">
        <f t="shared" si="11"/>
        <v>0.23133418603717196</v>
      </c>
    </row>
    <row r="46" spans="2:10" ht="17" thickBot="1">
      <c r="B46" s="13" t="s">
        <v>15</v>
      </c>
      <c r="C46" s="18" t="s">
        <v>99</v>
      </c>
      <c r="D46" s="18"/>
      <c r="E46" s="80">
        <f>SUMPRODUCT(D36:H36,F44:J44)</f>
        <v>0.13451823699959847</v>
      </c>
    </row>
    <row r="47" spans="2:10" ht="18">
      <c r="B47" s="13" t="s">
        <v>16</v>
      </c>
      <c r="C47" s="18" t="s">
        <v>100</v>
      </c>
      <c r="D47" s="19"/>
      <c r="E47" s="80">
        <f>SUMPRODUCT(F42:K42,F45:K45)</f>
        <v>2.7617490108290274E-2</v>
      </c>
      <c r="G47" s="231"/>
      <c r="H47" s="232"/>
      <c r="I47" s="233"/>
    </row>
    <row r="48" spans="2:10" ht="18">
      <c r="B48" s="13" t="s">
        <v>17</v>
      </c>
      <c r="C48" s="18" t="s">
        <v>101</v>
      </c>
      <c r="D48" s="19"/>
      <c r="E48" s="80">
        <f>E46/E47</f>
        <v>4.8707625664802361</v>
      </c>
      <c r="G48" s="234"/>
      <c r="I48" s="235"/>
    </row>
    <row r="49" spans="2:10" ht="17">
      <c r="B49" s="13" t="s">
        <v>18</v>
      </c>
      <c r="C49" s="25" t="s">
        <v>102</v>
      </c>
      <c r="D49" s="19"/>
      <c r="E49" s="80">
        <f>C38/C6^2</f>
        <v>1.6489263017662561</v>
      </c>
      <c r="G49" s="234"/>
      <c r="I49" s="235"/>
    </row>
    <row r="50" spans="2:10" ht="18">
      <c r="B50" s="13" t="s">
        <v>19</v>
      </c>
      <c r="C50" s="26" t="s">
        <v>103</v>
      </c>
      <c r="D50" s="19"/>
      <c r="E50" s="80">
        <f>E48/E49</f>
        <v>2.9538994928171705</v>
      </c>
      <c r="G50" s="234"/>
      <c r="I50" s="235"/>
    </row>
    <row r="51" spans="2:10" ht="17" thickBot="1">
      <c r="B51" s="13" t="s">
        <v>20</v>
      </c>
      <c r="C51" s="18" t="s">
        <v>104</v>
      </c>
      <c r="D51" s="19"/>
      <c r="E51" s="80">
        <f>SUMPRODUCT(D37:I37,F44:K44)</f>
        <v>1.4076178777376092</v>
      </c>
      <c r="G51" s="236"/>
      <c r="H51" s="237"/>
      <c r="I51" s="238"/>
    </row>
    <row r="52" spans="2:10">
      <c r="B52" s="4"/>
      <c r="C52" s="29"/>
      <c r="D52" s="5"/>
      <c r="E52" s="10"/>
      <c r="F52" s="29"/>
      <c r="G52" s="5"/>
      <c r="H52" s="5"/>
      <c r="I52" s="5"/>
      <c r="J52" s="5"/>
    </row>
    <row r="53" spans="2:10">
      <c r="B53" s="289" t="s">
        <v>21</v>
      </c>
      <c r="C53" s="292" t="s">
        <v>22</v>
      </c>
      <c r="D53" s="293" t="str">
        <f>C35</f>
        <v>QQQ</v>
      </c>
      <c r="E53" s="292" t="s">
        <v>10</v>
      </c>
      <c r="F53" s="291" t="str">
        <f>F41</f>
        <v>V</v>
      </c>
      <c r="G53" s="291" t="str">
        <f t="shared" ref="G53:J53" si="12">G41</f>
        <v>MA</v>
      </c>
      <c r="H53" s="291" t="str">
        <f t="shared" si="12"/>
        <v>TSM</v>
      </c>
      <c r="I53" s="291" t="str">
        <f t="shared" si="12"/>
        <v>GOOGL</v>
      </c>
      <c r="J53" s="291" t="str">
        <f t="shared" si="12"/>
        <v>NVDA</v>
      </c>
    </row>
    <row r="54" spans="2:10">
      <c r="B54" s="294" t="s">
        <v>105</v>
      </c>
      <c r="C54" s="81">
        <v>1</v>
      </c>
      <c r="D54" s="190">
        <f>C54-E54</f>
        <v>0</v>
      </c>
      <c r="E54" s="295">
        <v>1</v>
      </c>
      <c r="F54" s="85">
        <f>$E$54*F44</f>
        <v>7.4254092346974568E-2</v>
      </c>
      <c r="G54" s="85">
        <f t="shared" ref="G54:J54" si="13">$E$54*G44</f>
        <v>6.1542227220697729E-2</v>
      </c>
      <c r="H54" s="85">
        <f t="shared" si="13"/>
        <v>0.14184809927635103</v>
      </c>
      <c r="I54" s="85">
        <f t="shared" si="13"/>
        <v>0.24138345510585718</v>
      </c>
      <c r="J54" s="85">
        <f t="shared" si="13"/>
        <v>0.48097212605011941</v>
      </c>
    </row>
    <row r="55" spans="2:10">
      <c r="B55" s="13" t="s">
        <v>1</v>
      </c>
      <c r="C55" s="82">
        <f>D55*D54+E55*E54</f>
        <v>1.4076178777376092</v>
      </c>
      <c r="D55" s="84">
        <f>1</f>
        <v>1</v>
      </c>
      <c r="E55" s="83">
        <f>SUMPRODUCT(D37:I37,F44:K44)</f>
        <v>1.4076178777376092</v>
      </c>
      <c r="G55" s="7"/>
      <c r="H55" s="7"/>
      <c r="I55" s="7"/>
      <c r="J55" s="7"/>
    </row>
    <row r="56" spans="2:10">
      <c r="B56" s="13" t="s">
        <v>23</v>
      </c>
      <c r="C56" s="82">
        <f>D56*D54+E56*E54</f>
        <v>0.23487674495168415</v>
      </c>
      <c r="D56" s="84">
        <f>C38</f>
        <v>7.1296698869288785E-2</v>
      </c>
      <c r="E56" s="83">
        <f>SUMPRODUCT(D38:I38,F44:K44)</f>
        <v>0.23487674495168415</v>
      </c>
      <c r="G56" s="28"/>
      <c r="H56" s="28"/>
      <c r="I56" s="28"/>
      <c r="J56" s="28"/>
    </row>
    <row r="57" spans="2:10">
      <c r="B57" s="13" t="s">
        <v>24</v>
      </c>
      <c r="C57" s="82">
        <f>SQRT((D54+E54*E51)^2*D57^2+E54^2*E47)</f>
        <v>0.33658469534342189</v>
      </c>
      <c r="D57" s="84">
        <f>C6</f>
        <v>0.20793810808381816</v>
      </c>
      <c r="E57" s="83">
        <f>SQRT(E51^2*C6^2+E47)</f>
        <v>0.33658469534342189</v>
      </c>
    </row>
    <row r="58" spans="2:10">
      <c r="B58" s="15" t="s">
        <v>188</v>
      </c>
      <c r="C58" s="189">
        <f>C56/C57</f>
        <v>0.69782360339360128</v>
      </c>
      <c r="D58" s="190">
        <f>D56/D57</f>
        <v>0.34287461555892229</v>
      </c>
      <c r="E58" s="81">
        <f>E56/E57</f>
        <v>0.69782360339360128</v>
      </c>
    </row>
    <row r="59" spans="2:10">
      <c r="B59" s="296" t="s">
        <v>183</v>
      </c>
      <c r="C59" s="19"/>
      <c r="D59" s="198"/>
      <c r="E59" s="19"/>
    </row>
    <row r="60" spans="2:10">
      <c r="B60" s="191" t="s">
        <v>185</v>
      </c>
      <c r="C60" s="192">
        <f>C56/C55</f>
        <v>0.16686115505238489</v>
      </c>
      <c r="D60" s="195">
        <f>D56/D55</f>
        <v>7.1296698869288785E-2</v>
      </c>
      <c r="E60" s="192">
        <f>E56/E55</f>
        <v>0.16686115505238489</v>
      </c>
    </row>
    <row r="61" spans="2:10">
      <c r="B61" s="13" t="s">
        <v>186</v>
      </c>
      <c r="C61" s="82">
        <f>SUMPRODUCT($D$54*D61+$E$54*E61)</f>
        <v>0.13451823699959847</v>
      </c>
      <c r="D61" s="193">
        <v>0</v>
      </c>
      <c r="E61" s="82">
        <f>E46</f>
        <v>0.13451823699959847</v>
      </c>
    </row>
    <row r="62" spans="2:10">
      <c r="B62" s="15" t="s">
        <v>187</v>
      </c>
      <c r="C62" s="189">
        <f>SUMPRODUCT($D$54*D62+$E$54*E62)</f>
        <v>0.48599965579389293</v>
      </c>
      <c r="D62" s="194">
        <v>0</v>
      </c>
      <c r="E62" s="189">
        <f>(E56-D56)/E57</f>
        <v>0.48599965579389293</v>
      </c>
    </row>
    <row r="63" spans="2:10">
      <c r="B63" s="196" t="s">
        <v>179</v>
      </c>
      <c r="C63" s="192">
        <f t="shared" ref="C63:C70" si="14">SUMPRODUCT($D$54*D63+$E$54*E63)</f>
        <v>0.23487674495168415</v>
      </c>
      <c r="D63" s="195">
        <f>D56</f>
        <v>7.1296698869288785E-2</v>
      </c>
      <c r="E63" s="192">
        <f>E56</f>
        <v>0.23487674495168415</v>
      </c>
    </row>
    <row r="64" spans="2:10">
      <c r="B64" s="196" t="s">
        <v>180</v>
      </c>
      <c r="C64" s="82">
        <f t="shared" si="14"/>
        <v>0.15035850795208566</v>
      </c>
      <c r="D64" s="84">
        <f>5%+$C$39*D55</f>
        <v>0.12129669886928879</v>
      </c>
      <c r="E64" s="83">
        <f>5%+$C$39*E55</f>
        <v>0.15035850795208566</v>
      </c>
    </row>
    <row r="65" spans="2:5">
      <c r="B65" s="196" t="s">
        <v>181</v>
      </c>
      <c r="C65" s="82">
        <f t="shared" si="14"/>
        <v>1.6186772999192016</v>
      </c>
      <c r="D65" s="193">
        <f>D57/$D$57</f>
        <v>1</v>
      </c>
      <c r="E65" s="82">
        <f>E57/$D$57</f>
        <v>1.6186772999192016</v>
      </c>
    </row>
    <row r="66" spans="2:5">
      <c r="B66" s="197" t="s">
        <v>182</v>
      </c>
      <c r="C66" s="189">
        <f t="shared" si="14"/>
        <v>0.16540634801889276</v>
      </c>
      <c r="D66" s="194">
        <f>5%+$C$39*D65</f>
        <v>0.12129669886928879</v>
      </c>
      <c r="E66" s="189">
        <f>5%+$C$39*E65</f>
        <v>0.16540634801889276</v>
      </c>
    </row>
    <row r="67" spans="2:5">
      <c r="B67" s="196" t="s">
        <v>175</v>
      </c>
      <c r="C67" s="82">
        <f t="shared" si="14"/>
        <v>0.13451823699959847</v>
      </c>
      <c r="D67" s="84">
        <f>D56+5%-D64</f>
        <v>0</v>
      </c>
      <c r="E67" s="83">
        <f>E56+5%-E64</f>
        <v>0.13451823699959847</v>
      </c>
    </row>
    <row r="68" spans="2:5">
      <c r="B68" s="196" t="s">
        <v>176</v>
      </c>
      <c r="C68" s="82">
        <f t="shared" si="14"/>
        <v>-1.5047840066807094E-2</v>
      </c>
      <c r="D68" s="84">
        <f>D64-D66</f>
        <v>0</v>
      </c>
      <c r="E68" s="83">
        <f>E64-E66</f>
        <v>-1.5047840066807094E-2</v>
      </c>
    </row>
    <row r="69" spans="2:5">
      <c r="B69" s="196" t="s">
        <v>177</v>
      </c>
      <c r="C69" s="82">
        <f t="shared" si="14"/>
        <v>0.14956607706640557</v>
      </c>
      <c r="D69" s="84">
        <f>D67-D68</f>
        <v>0</v>
      </c>
      <c r="E69" s="83">
        <f>E67-E68</f>
        <v>0.14956607706640557</v>
      </c>
    </row>
    <row r="70" spans="2:5">
      <c r="B70" s="196" t="s">
        <v>178</v>
      </c>
      <c r="C70" s="82">
        <f t="shared" si="14"/>
        <v>0.10035850795208567</v>
      </c>
      <c r="D70" s="84">
        <f>D63-D67</f>
        <v>7.1296698869288785E-2</v>
      </c>
      <c r="E70" s="83">
        <f>E63-E67</f>
        <v>0.10035850795208567</v>
      </c>
    </row>
  </sheetData>
  <pageMargins left="0.25" right="0.25" top="0.75" bottom="0.75" header="0.3" footer="0.3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7F81-EF02-454B-AFE8-CB8B0B85144A}">
  <sheetPr>
    <pageSetUpPr fitToPage="1"/>
  </sheetPr>
  <dimension ref="B1:BB120"/>
  <sheetViews>
    <sheetView showGridLines="0" topLeftCell="U1" zoomScale="87" workbookViewId="0">
      <selection activeCell="T124" sqref="T124"/>
    </sheetView>
  </sheetViews>
  <sheetFormatPr baseColWidth="10" defaultColWidth="10.83203125" defaultRowHeight="16"/>
  <cols>
    <col min="1" max="1" width="3.1640625" style="30" customWidth="1"/>
    <col min="2" max="2" width="11.1640625" style="30" customWidth="1"/>
    <col min="3" max="5" width="24.5" style="30" customWidth="1"/>
    <col min="6" max="6" width="18.33203125" style="30" bestFit="1" customWidth="1"/>
    <col min="7" max="8" width="16.1640625" style="30" bestFit="1" customWidth="1"/>
    <col min="9" max="9" width="12.1640625" style="30" bestFit="1" customWidth="1"/>
    <col min="10" max="10" width="23.83203125" style="30" bestFit="1" customWidth="1"/>
    <col min="11" max="11" width="18.33203125" style="30" customWidth="1"/>
    <col min="12" max="12" width="22.5" style="30" customWidth="1"/>
    <col min="13" max="14" width="13.33203125" style="30" customWidth="1"/>
    <col min="15" max="15" width="23.6640625" style="30" customWidth="1"/>
    <col min="16" max="30" width="13.33203125" style="30" customWidth="1"/>
    <col min="31" max="31" width="14.6640625" style="30" customWidth="1"/>
    <col min="32" max="32" width="15.1640625" style="30" customWidth="1"/>
    <col min="33" max="35" width="31.1640625" style="30" customWidth="1"/>
    <col min="36" max="36" width="4.6640625" style="30" customWidth="1"/>
    <col min="37" max="37" width="23.1640625" style="30" bestFit="1" customWidth="1"/>
    <col min="38" max="16384" width="10.83203125" style="30"/>
  </cols>
  <sheetData>
    <row r="1" spans="2:54" ht="29" customHeight="1" thickBot="1">
      <c r="L1" s="242"/>
      <c r="M1" s="243"/>
      <c r="N1" s="243"/>
      <c r="O1" s="243"/>
      <c r="P1" s="243"/>
      <c r="Q1" s="243"/>
      <c r="R1" s="243"/>
      <c r="S1" s="243"/>
      <c r="T1" s="243"/>
      <c r="U1" s="244"/>
    </row>
    <row r="2" spans="2:54" ht="34" thickBot="1">
      <c r="B2" s="298" t="s">
        <v>26</v>
      </c>
      <c r="C2" s="299"/>
      <c r="D2" s="300"/>
      <c r="E2" s="31"/>
      <c r="F2" s="31"/>
      <c r="G2" s="31"/>
      <c r="H2" s="31"/>
      <c r="I2" s="31"/>
      <c r="J2" s="31"/>
      <c r="L2" s="245"/>
      <c r="U2" s="246"/>
    </row>
    <row r="3" spans="2:54" ht="17" customHeight="1" thickBot="1">
      <c r="B3" s="32"/>
      <c r="D3" s="31"/>
      <c r="E3" s="31"/>
      <c r="F3" s="31"/>
      <c r="G3" s="31"/>
      <c r="H3" s="31"/>
      <c r="I3" s="31"/>
      <c r="J3" s="31"/>
      <c r="L3" s="247"/>
      <c r="M3" s="248"/>
      <c r="N3" s="248"/>
      <c r="O3" s="248"/>
      <c r="P3" s="248"/>
      <c r="Q3" s="248"/>
      <c r="R3" s="248"/>
      <c r="S3" s="248"/>
      <c r="T3" s="248"/>
      <c r="U3" s="249"/>
    </row>
    <row r="4" spans="2:54" ht="17" customHeight="1">
      <c r="B4" s="33" t="s">
        <v>27</v>
      </c>
      <c r="E4" s="34"/>
      <c r="G4" s="35"/>
      <c r="I4" s="31"/>
      <c r="J4" s="31"/>
      <c r="N4" s="33" t="s">
        <v>28</v>
      </c>
    </row>
    <row r="5" spans="2:54" ht="17" customHeight="1">
      <c r="B5" s="36"/>
      <c r="C5" s="36"/>
      <c r="D5" s="36"/>
      <c r="E5" s="36"/>
      <c r="F5" s="36"/>
      <c r="G5" s="36"/>
      <c r="H5" s="36"/>
      <c r="I5" s="37"/>
      <c r="J5" s="37"/>
      <c r="K5" s="36"/>
      <c r="O5" s="36"/>
      <c r="P5" s="36"/>
      <c r="Q5" s="36"/>
      <c r="R5" s="36"/>
      <c r="S5" s="36"/>
      <c r="T5" s="36"/>
      <c r="U5" s="36"/>
    </row>
    <row r="6" spans="2:54" ht="17" customHeight="1">
      <c r="B6" s="301" t="s">
        <v>29</v>
      </c>
      <c r="C6" s="302"/>
      <c r="D6" s="303"/>
      <c r="E6" s="304" t="s">
        <v>30</v>
      </c>
      <c r="F6" s="305" t="s">
        <v>210</v>
      </c>
      <c r="G6" s="304" t="s">
        <v>206</v>
      </c>
      <c r="H6" s="304" t="s">
        <v>200</v>
      </c>
      <c r="I6" s="304" t="s">
        <v>207</v>
      </c>
      <c r="J6" s="304" t="s">
        <v>208</v>
      </c>
      <c r="K6" s="305" t="s">
        <v>31</v>
      </c>
      <c r="L6" s="306" t="s">
        <v>217</v>
      </c>
      <c r="N6" s="297"/>
      <c r="O6" s="307" t="s">
        <v>32</v>
      </c>
      <c r="P6" s="136" t="str">
        <f>F6</f>
        <v>QQQ</v>
      </c>
      <c r="Q6" s="136" t="str">
        <f t="shared" ref="Q6:U6" si="0">G6</f>
        <v>V</v>
      </c>
      <c r="R6" s="136" t="str">
        <f t="shared" si="0"/>
        <v>MA</v>
      </c>
      <c r="S6" s="136" t="str">
        <f t="shared" si="0"/>
        <v>TSM</v>
      </c>
      <c r="T6" s="136" t="str">
        <f t="shared" si="0"/>
        <v>GOOGL</v>
      </c>
      <c r="U6" s="136" t="str">
        <f t="shared" si="0"/>
        <v>NVDA</v>
      </c>
    </row>
    <row r="7" spans="2:54" ht="17" customHeight="1">
      <c r="B7" s="38" t="s">
        <v>93</v>
      </c>
      <c r="C7" s="124"/>
      <c r="D7" s="125"/>
      <c r="E7" s="126">
        <v>0.04</v>
      </c>
      <c r="F7" s="169">
        <f>AVERAGE(E39:E97)*12</f>
        <v>0.11300698985030749</v>
      </c>
      <c r="G7" s="127">
        <f>AVERAGE(H39:H97)*12</f>
        <v>9.173731589945483E-2</v>
      </c>
      <c r="H7" s="127">
        <f>AVERAGE(M39:M97)*12</f>
        <v>0.10167096671998353</v>
      </c>
      <c r="I7" s="127">
        <f>AVERAGE(R39:R97)*12</f>
        <v>0.25163728735265811</v>
      </c>
      <c r="J7" s="127">
        <f>AVERAGE(W39:W97)*12</f>
        <v>0.14930284595848081</v>
      </c>
      <c r="K7" s="169">
        <f>AVERAGE(AB39:AB97)*12</f>
        <v>0.59020164949371001</v>
      </c>
      <c r="L7" s="127">
        <f>AVERAGE(AI39:AI97)*12</f>
        <v>-0.15534389592283143</v>
      </c>
      <c r="O7" s="131" t="str">
        <f>F6</f>
        <v>QQQ</v>
      </c>
      <c r="P7" s="41">
        <v>1</v>
      </c>
      <c r="Q7" s="42"/>
      <c r="R7" s="42"/>
      <c r="S7" s="42"/>
      <c r="T7" s="42"/>
      <c r="U7" s="42"/>
    </row>
    <row r="8" spans="2:54" ht="17" customHeight="1">
      <c r="B8" s="38" t="s">
        <v>2</v>
      </c>
      <c r="D8" s="43"/>
      <c r="E8" s="40">
        <v>0</v>
      </c>
      <c r="F8" s="170">
        <f>_xlfn.STDEV.S(E39:E97)*SQRT(12)</f>
        <v>0.20793810808381816</v>
      </c>
      <c r="G8" s="40">
        <f>_xlfn.STDEV.S(H39:H97)*SQRT(12)</f>
        <v>0.2264541671765003</v>
      </c>
      <c r="H8" s="40">
        <f>_xlfn.STDEV.S(M39:M97)*SQRT(12)</f>
        <v>0.25197244709600858</v>
      </c>
      <c r="I8" s="40">
        <f>_xlfn.STDEV.S(R39:R97)*SQRT(12)</f>
        <v>0.37745676852088145</v>
      </c>
      <c r="J8" s="40">
        <f>_xlfn.STDEV.S(W39:W97)*SQRT(12)</f>
        <v>0.27133133425878037</v>
      </c>
      <c r="K8" s="170">
        <f>_xlfn.STDEV.S(AB39:AB97)*SQRT(12)</f>
        <v>0.50993550567674129</v>
      </c>
      <c r="L8" s="40">
        <f>_xlfn.STDEV.S(AI39:AI97)*SQRT(12)</f>
        <v>0.15055577040639262</v>
      </c>
      <c r="O8" s="132" t="str">
        <f>Q6</f>
        <v>V</v>
      </c>
      <c r="P8" s="44">
        <f>G18</f>
        <v>0.53256298619035181</v>
      </c>
      <c r="Q8" s="44">
        <v>1</v>
      </c>
      <c r="R8" s="45"/>
      <c r="S8" s="45"/>
      <c r="T8" s="45"/>
      <c r="U8" s="45"/>
    </row>
    <row r="9" spans="2:54" ht="17" customHeight="1">
      <c r="B9" s="46" t="s">
        <v>25</v>
      </c>
      <c r="C9" s="36"/>
      <c r="D9" s="47"/>
      <c r="E9" s="48"/>
      <c r="F9" s="171">
        <f>F7/F8</f>
        <v>0.54346454765643681</v>
      </c>
      <c r="G9" s="49">
        <f t="shared" ref="G9:L9" si="1">G7/G8</f>
        <v>0.40510323587003805</v>
      </c>
      <c r="H9" s="49">
        <f t="shared" si="1"/>
        <v>0.40350033462684132</v>
      </c>
      <c r="I9" s="49">
        <f t="shared" si="1"/>
        <v>0.66666518748288706</v>
      </c>
      <c r="J9" s="49">
        <f t="shared" si="1"/>
        <v>0.55026024313168442</v>
      </c>
      <c r="K9" s="171">
        <f t="shared" si="1"/>
        <v>1.1574045010073315</v>
      </c>
      <c r="L9" s="49">
        <f t="shared" si="1"/>
        <v>-1.0318030023260769</v>
      </c>
      <c r="O9" s="132" t="str">
        <f>R6</f>
        <v>MA</v>
      </c>
      <c r="P9" s="44">
        <f>H18</f>
        <v>0.52377541082710743</v>
      </c>
      <c r="Q9" s="44">
        <f>G18*H18</f>
        <v>0.27894339688316266</v>
      </c>
      <c r="R9" s="44">
        <v>1</v>
      </c>
      <c r="S9" s="45"/>
      <c r="T9" s="45"/>
      <c r="U9" s="45"/>
    </row>
    <row r="10" spans="2:54" ht="17" customHeight="1">
      <c r="B10" s="38" t="s">
        <v>34</v>
      </c>
      <c r="D10" s="43"/>
      <c r="E10" s="52"/>
      <c r="F10" s="172">
        <v>0</v>
      </c>
      <c r="G10" s="53">
        <f>_xlfn.STDEV.S(J39:J97)*SQRT(12)</f>
        <v>0.19166862732263665</v>
      </c>
      <c r="H10" s="53">
        <f>_xlfn.STDEV.S(O39:O97)*SQRT(12)</f>
        <v>0.21464434061635171</v>
      </c>
      <c r="I10" s="53">
        <f>_xlfn.STDEV.S(T39:T97)*SQRT(12)</f>
        <v>0.39916163317142039</v>
      </c>
      <c r="J10" s="53">
        <f>_xlfn.STDEV.S(Y39:Y97)*SQRT(12)</f>
        <v>0.19347430314301775</v>
      </c>
      <c r="K10" s="179">
        <f>_xlfn.STDEV.S(AD39:AD97)*SQRT(12)</f>
        <v>0.3073555642489823</v>
      </c>
      <c r="O10" s="132" t="str">
        <f>S6</f>
        <v>TSM</v>
      </c>
      <c r="P10" s="54">
        <f>I18</f>
        <v>0.63491061600538179</v>
      </c>
      <c r="Q10" s="54">
        <f>G18*I18</f>
        <v>0.33812989362378187</v>
      </c>
      <c r="R10" s="54">
        <f>H18*I18</f>
        <v>0.33255056873671068</v>
      </c>
      <c r="S10" s="54">
        <v>1</v>
      </c>
      <c r="T10" s="55"/>
      <c r="U10" s="55"/>
    </row>
    <row r="11" spans="2:54" ht="17" customHeight="1">
      <c r="B11" s="38" t="s">
        <v>35</v>
      </c>
      <c r="D11" s="43"/>
      <c r="E11" s="52"/>
      <c r="F11" s="172">
        <f>F8</f>
        <v>0.20793810808381816</v>
      </c>
      <c r="G11" s="40">
        <f>_xlfn.STDEV.S(I39:I97)*SQRT(12)</f>
        <v>0.12060110750676618</v>
      </c>
      <c r="H11" s="40">
        <f>_xlfn.STDEV.S(O39:O97)*SQRT(12)</f>
        <v>0.21464434061635171</v>
      </c>
      <c r="I11" s="40">
        <f>_xlfn.STDEV.S(S39:S97)*SQRT(12)</f>
        <v>0.12697841775498164</v>
      </c>
      <c r="J11" s="40">
        <f>_xlfn.STDEV.S(X39:X97)*SQRT(12)</f>
        <v>0.19023245510157746</v>
      </c>
      <c r="K11" s="170">
        <f>_xlfn.STDEV.S(AC39:AC97)*SQRT(12)</f>
        <v>0.4068989764978323</v>
      </c>
      <c r="O11" s="132" t="str">
        <f>T6</f>
        <v>GOOGL</v>
      </c>
      <c r="P11" s="157">
        <f>J18</f>
        <v>0.70110757985712246</v>
      </c>
      <c r="Q11" s="44">
        <f>G18*J18</f>
        <v>0.3733839463693997</v>
      </c>
      <c r="R11" s="44">
        <f>H18*J18</f>
        <v>0.36722291067366336</v>
      </c>
      <c r="S11" s="44">
        <f>I18*J18</f>
        <v>0.44514064541312803</v>
      </c>
      <c r="T11" s="44">
        <v>1</v>
      </c>
      <c r="U11" s="45"/>
      <c r="AU11" s="30">
        <v>0.5</v>
      </c>
      <c r="AV11" s="30">
        <f>AU11*0.5</f>
        <v>0.25</v>
      </c>
      <c r="AW11" s="30">
        <f>AV11*0.5</f>
        <v>0.125</v>
      </c>
      <c r="AX11" s="30">
        <f>AW11*0.5</f>
        <v>6.25E-2</v>
      </c>
      <c r="AY11" s="30">
        <f>AX11*0.5</f>
        <v>3.125E-2</v>
      </c>
      <c r="AZ11" s="30">
        <f t="shared" ref="AZ11:BB11" si="2">AY11*0.5</f>
        <v>1.5625E-2</v>
      </c>
      <c r="BA11" s="30">
        <f t="shared" si="2"/>
        <v>7.8125E-3</v>
      </c>
      <c r="BB11" s="30">
        <f t="shared" si="2"/>
        <v>3.90625E-3</v>
      </c>
    </row>
    <row r="12" spans="2:54" ht="17" customHeight="1">
      <c r="B12" s="46" t="s">
        <v>36</v>
      </c>
      <c r="C12" s="36"/>
      <c r="D12" s="47"/>
      <c r="E12" s="48"/>
      <c r="F12" s="173">
        <f>F8^2</f>
        <v>4.323825679347764E-2</v>
      </c>
      <c r="G12" s="49">
        <f>_xlfn.COVARIANCE.S($E$39:$E$97,H39:H97)*12</f>
        <v>2.5077566127770116E-2</v>
      </c>
      <c r="H12" s="49">
        <f>_xlfn.COVARIANCE.S($E$39:$E$97,M39:M97)*12</f>
        <v>2.744304186723466E-2</v>
      </c>
      <c r="I12" s="49">
        <f>_xlfn.COVARIANCE.S($E$39:$E$97,R39:R97)*12</f>
        <v>4.9832639879979386E-2</v>
      </c>
      <c r="J12" s="49">
        <f>_xlfn.COVARIANCE.S($E$39:$E$97,W39:W97)*12</f>
        <v>3.9556576809961913E-2</v>
      </c>
      <c r="K12" s="171">
        <f>_xlfn.COVARIANCE.S($E$39:$E$97,AB39:AB97)*12</f>
        <v>8.4609803354201235E-2</v>
      </c>
      <c r="O12" s="132" t="str">
        <f>U6</f>
        <v>NVDA</v>
      </c>
      <c r="P12" s="157">
        <f>K18</f>
        <v>0.79794203770500727</v>
      </c>
      <c r="Q12" s="44">
        <f>G18*K18</f>
        <v>0.42495439440699295</v>
      </c>
      <c r="R12" s="44">
        <f>H18*K18</f>
        <v>0.41794241861515941</v>
      </c>
      <c r="S12" s="44">
        <f>I18*K18</f>
        <v>0.50662187069587572</v>
      </c>
      <c r="T12" s="44">
        <f>J18*K18</f>
        <v>0.55944321092161842</v>
      </c>
      <c r="U12" s="44">
        <v>1</v>
      </c>
    </row>
    <row r="13" spans="2:54" ht="17" customHeight="1">
      <c r="B13" s="38" t="s">
        <v>94</v>
      </c>
      <c r="D13" s="43"/>
      <c r="E13" s="52"/>
      <c r="F13" s="172">
        <v>0</v>
      </c>
      <c r="G13" s="40">
        <f>INTERCEPT(H39:H97,$E$39:$E$97)*12</f>
        <v>2.6194889561424857E-2</v>
      </c>
      <c r="H13" s="40">
        <f>INTERCEPT(M39:M97,$E$39:$E$97)*12</f>
        <v>2.994616133375055E-2</v>
      </c>
      <c r="I13" s="40">
        <f>INTERCEPT(R39:R97,$E$39:$E$97)*12</f>
        <v>0.12139529688507888</v>
      </c>
      <c r="J13" s="309">
        <f>INTERCEPT(W39:W97,$E$39:$E$97)*12</f>
        <v>4.5918250797128565E-2</v>
      </c>
      <c r="K13" s="310">
        <f>INTERCEPT(AB39:AB97,$E$39:$E$97)*12</f>
        <v>0.36906648128944847</v>
      </c>
      <c r="V13" s="57"/>
      <c r="W13" s="57"/>
      <c r="X13" s="57"/>
      <c r="Y13" s="57"/>
      <c r="Z13" s="56"/>
      <c r="AA13" s="57"/>
      <c r="AB13" s="57"/>
      <c r="AC13" s="57"/>
      <c r="AD13" s="57"/>
      <c r="AE13" s="57"/>
    </row>
    <row r="14" spans="2:54" ht="17" customHeight="1">
      <c r="B14" s="38" t="s">
        <v>133</v>
      </c>
      <c r="D14" s="43"/>
      <c r="E14" s="52"/>
      <c r="F14" s="174">
        <f>F13*$E$27/E27</f>
        <v>0</v>
      </c>
      <c r="G14" s="156">
        <f>G13*$E$27/G27</f>
        <v>1.6319175395471088E-2</v>
      </c>
      <c r="H14" s="156">
        <f>H13*$E$27/H27</f>
        <v>1.6607607482604331E-2</v>
      </c>
      <c r="I14" s="156">
        <f>I13*$E$27/I27</f>
        <v>0.11652413268652863</v>
      </c>
      <c r="J14" s="86">
        <f>J13*$E$27/J27</f>
        <v>5.0556249296536869E-2</v>
      </c>
      <c r="K14" s="172">
        <f>K13*$E$27/K27</f>
        <v>0.22130897544894329</v>
      </c>
      <c r="O14" s="36"/>
      <c r="P14" s="36"/>
      <c r="Q14" s="36"/>
      <c r="R14" s="36"/>
      <c r="S14" s="36"/>
      <c r="T14" s="36"/>
      <c r="U14" s="36"/>
      <c r="V14" s="57"/>
      <c r="W14" s="57"/>
      <c r="X14" s="57"/>
      <c r="Y14" s="57"/>
      <c r="Z14" s="56"/>
      <c r="AA14" s="57"/>
      <c r="AB14" s="57"/>
      <c r="AC14" s="57"/>
      <c r="AD14" s="57"/>
      <c r="AE14" s="57"/>
    </row>
    <row r="15" spans="2:54" ht="17" customHeight="1">
      <c r="B15" s="38" t="s">
        <v>131</v>
      </c>
      <c r="E15" s="211"/>
      <c r="F15" s="175">
        <v>0</v>
      </c>
      <c r="G15" s="138">
        <f>(G7+$E$7-(4.3%+G17*((AVERAGE('QQQ ETF Stock 10yrs Prices '!$G$3:$G$121)*12)-4.3%)))</f>
        <v>2.1327393416040535E-2</v>
      </c>
      <c r="H15" s="138">
        <f>(H7+$E$7-(4.3%+H17*((AVERAGE('QQQ ETF Stock 10yrs Prices '!$G$3:$G$121)*12)-4.3%)))</f>
        <v>2.4902511059096147E-2</v>
      </c>
      <c r="I15" s="138">
        <f>(I7+$E$7-(4.3%+I17*((AVERAGE('QQQ ETF Stock 10yrs Prices '!$G$3:$G$121)*12)-4.3%)))</f>
        <v>0.11468432021309904</v>
      </c>
      <c r="J15" s="138">
        <f>(J7+$E$7-(4.3%+J17*((AVERAGE('QQQ ETF Stock 10yrs Prices '!$G$3:$G$121)*12)-4.3%)))</f>
        <v>3.9972520165183406E-2</v>
      </c>
      <c r="K15" s="175">
        <f>(K7+$E$7-(4.3%+K17*((AVERAGE('QQQ ETF Stock 10yrs Prices '!$G$3:$G$121)*12)-4.3%)))</f>
        <v>0.35976569114017154</v>
      </c>
      <c r="N15" s="308"/>
      <c r="O15" s="307" t="s">
        <v>33</v>
      </c>
      <c r="P15" s="136" t="str">
        <f t="shared" ref="P15:U15" si="3">P6</f>
        <v>QQQ</v>
      </c>
      <c r="Q15" s="136" t="str">
        <f t="shared" si="3"/>
        <v>V</v>
      </c>
      <c r="R15" s="136" t="str">
        <f t="shared" si="3"/>
        <v>MA</v>
      </c>
      <c r="S15" s="136" t="str">
        <f t="shared" si="3"/>
        <v>TSM</v>
      </c>
      <c r="T15" s="136" t="str">
        <f t="shared" si="3"/>
        <v>GOOGL</v>
      </c>
      <c r="U15" s="136" t="str">
        <f t="shared" si="3"/>
        <v>NVDA</v>
      </c>
    </row>
    <row r="16" spans="2:54" ht="17" customHeight="1">
      <c r="B16" s="46" t="s">
        <v>134</v>
      </c>
      <c r="C16" s="36"/>
      <c r="D16" s="36"/>
      <c r="E16" s="212"/>
      <c r="F16" s="176">
        <f t="shared" ref="F16:K16" si="4">F15*$E$27/F27</f>
        <v>0</v>
      </c>
      <c r="G16" s="139">
        <f t="shared" si="4"/>
        <v>1.3286770042242126E-2</v>
      </c>
      <c r="H16" s="139">
        <f t="shared" si="4"/>
        <v>1.3810488910128546E-2</v>
      </c>
      <c r="I16" s="139">
        <f t="shared" si="4"/>
        <v>0.11008244378879264</v>
      </c>
      <c r="J16" s="155">
        <f t="shared" si="4"/>
        <v>4.4009966830187507E-2</v>
      </c>
      <c r="K16" s="180">
        <f t="shared" si="4"/>
        <v>0.21573180048683183</v>
      </c>
      <c r="O16" s="131" t="str">
        <f>F6</f>
        <v>QQQ</v>
      </c>
      <c r="P16" s="41">
        <f>F8^2</f>
        <v>4.323825679347764E-2</v>
      </c>
      <c r="Q16" s="42"/>
      <c r="R16" s="42"/>
      <c r="S16" s="42"/>
      <c r="T16" s="42"/>
      <c r="U16" s="42"/>
    </row>
    <row r="17" spans="2:27" ht="17" customHeight="1">
      <c r="B17" s="38" t="s">
        <v>37</v>
      </c>
      <c r="D17" s="43"/>
      <c r="E17" s="52"/>
      <c r="F17" s="172">
        <v>1</v>
      </c>
      <c r="G17" s="40">
        <f>SLOPE(H39:H97,$E$39:$E$97)</f>
        <v>0.57998559580119302</v>
      </c>
      <c r="H17" s="40">
        <f>SLOPE(M39:M97,$E$39:$E$97)</f>
        <v>0.63469353073860157</v>
      </c>
      <c r="I17" s="40">
        <f>SLOPE(R39:R97,$E$39:$E$97)</f>
        <v>1.1525126953660276</v>
      </c>
      <c r="J17" s="40">
        <f>SLOPE(W39:W97,$E$39:$E$97)</f>
        <v>0.91485133174769639</v>
      </c>
      <c r="K17" s="170">
        <f>SLOPE(AB39:AB97,$E$39:$E$97)</f>
        <v>1.9568273475577385</v>
      </c>
      <c r="O17" s="132" t="str">
        <f>Q15</f>
        <v>V</v>
      </c>
      <c r="P17" s="44">
        <f>G17*1*P16</f>
        <v>2.507756612777011E-2</v>
      </c>
      <c r="Q17" s="44">
        <f>G8^2</f>
        <v>5.1281489831602342E-2</v>
      </c>
      <c r="R17" s="45"/>
      <c r="S17" s="45"/>
      <c r="T17" s="45"/>
      <c r="U17" s="45"/>
    </row>
    <row r="18" spans="2:27" ht="17" customHeight="1">
      <c r="B18" s="38" t="s">
        <v>38</v>
      </c>
      <c r="D18" s="43"/>
      <c r="E18" s="52"/>
      <c r="F18" s="172">
        <v>1</v>
      </c>
      <c r="G18" s="40">
        <f>CORREL($E$39:$E$97,H$39:H$97)</f>
        <v>0.53256298619035181</v>
      </c>
      <c r="H18" s="40">
        <f>CORREL($E$39:$E$97,M$39:M$97)</f>
        <v>0.52377541082710743</v>
      </c>
      <c r="I18" s="40">
        <f>CORREL($E$39:$E$97,R$39:R$97)</f>
        <v>0.63491061600538179</v>
      </c>
      <c r="J18" s="40">
        <f>CORREL($E$39:$E$97,W$39:W$97)</f>
        <v>0.70110757985712246</v>
      </c>
      <c r="K18" s="170">
        <f>CORREL($E$39:$E$97,AB$39:AB$97)</f>
        <v>0.79794203770500727</v>
      </c>
      <c r="L18" s="40">
        <f>CORREL($E$39:$E$97,AI$39:AI$97)</f>
        <v>0.56627587216734765</v>
      </c>
      <c r="O18" s="132" t="str">
        <f>R15</f>
        <v>MA</v>
      </c>
      <c r="P18" s="44">
        <f>$H$17*$P$16</f>
        <v>2.744304186723465E-2</v>
      </c>
      <c r="Q18" s="44">
        <f>$H$17*G17*$P$16</f>
        <v>1.5916568987965174E-2</v>
      </c>
      <c r="R18" s="44">
        <f>H8^2</f>
        <v>6.3490114095550845E-2</v>
      </c>
      <c r="S18" s="45"/>
      <c r="T18" s="45"/>
      <c r="U18" s="45"/>
    </row>
    <row r="19" spans="2:27" ht="17" customHeight="1">
      <c r="B19" s="38" t="s">
        <v>39</v>
      </c>
      <c r="D19" s="43"/>
      <c r="E19" s="52"/>
      <c r="F19" s="172">
        <v>1</v>
      </c>
      <c r="G19" s="40">
        <f>G18^2</f>
        <v>0.28362333425998487</v>
      </c>
      <c r="H19" s="40">
        <f t="shared" ref="H19:K19" si="5">H18^2</f>
        <v>0.27434068098710518</v>
      </c>
      <c r="I19" s="40">
        <f t="shared" si="5"/>
        <v>0.40311149031633337</v>
      </c>
      <c r="J19" s="40">
        <f t="shared" si="5"/>
        <v>0.49155183853311135</v>
      </c>
      <c r="K19" s="170">
        <f t="shared" si="5"/>
        <v>0.63671149553681927</v>
      </c>
      <c r="O19" s="132" t="str">
        <f>S15</f>
        <v>TSM</v>
      </c>
      <c r="P19" s="54">
        <f>$I$17*1*$P$16</f>
        <v>4.9832639879979372E-2</v>
      </c>
      <c r="Q19" s="54">
        <f>$I$17*G17*$P$16</f>
        <v>2.8902213331136125E-2</v>
      </c>
      <c r="R19" s="54">
        <f>$I$17*H17*$P$16</f>
        <v>3.1628454151449346E-2</v>
      </c>
      <c r="S19" s="54">
        <f>I8^2</f>
        <v>0.14247361210222628</v>
      </c>
      <c r="T19" s="55"/>
      <c r="U19" s="55"/>
    </row>
    <row r="20" spans="2:27" ht="19" thickBot="1">
      <c r="B20" s="46" t="s">
        <v>40</v>
      </c>
      <c r="C20" s="58"/>
      <c r="D20" s="59"/>
      <c r="E20" s="48"/>
      <c r="F20" s="173">
        <v>0</v>
      </c>
      <c r="G20" s="49">
        <f>1-G19</f>
        <v>0.71637666574001513</v>
      </c>
      <c r="H20" s="49">
        <f t="shared" ref="H20:K20" si="6">1-H19</f>
        <v>0.72565931901289482</v>
      </c>
      <c r="I20" s="49">
        <f t="shared" si="6"/>
        <v>0.59688850968366669</v>
      </c>
      <c r="J20" s="49">
        <f t="shared" si="6"/>
        <v>0.50844816146688865</v>
      </c>
      <c r="K20" s="171">
        <f t="shared" si="6"/>
        <v>0.36328850446318073</v>
      </c>
      <c r="O20" s="132" t="str">
        <f>T15</f>
        <v>GOOGL</v>
      </c>
      <c r="P20" s="157">
        <f>$J$17*$P$16</f>
        <v>3.9556576809961899E-2</v>
      </c>
      <c r="Q20" s="44">
        <f>$J$17*$P$16*G17</f>
        <v>2.2942244768981407E-2</v>
      </c>
      <c r="R20" s="44">
        <f>$J$17*$P$16*H17</f>
        <v>2.5106303399447406E-2</v>
      </c>
      <c r="S20" s="44">
        <f>$J$17*$P$16</f>
        <v>3.9556576809961899E-2</v>
      </c>
      <c r="T20" s="44">
        <f>J8^2</f>
        <v>7.3620692950650005E-2</v>
      </c>
      <c r="U20" s="45"/>
    </row>
    <row r="21" spans="2:27">
      <c r="B21" s="38" t="s">
        <v>154</v>
      </c>
      <c r="C21" s="38" t="s">
        <v>149</v>
      </c>
      <c r="D21" s="166"/>
      <c r="F21" s="345" t="s">
        <v>151</v>
      </c>
      <c r="G21" s="164" t="s">
        <v>151</v>
      </c>
      <c r="H21" s="164" t="s">
        <v>151</v>
      </c>
      <c r="I21" s="164" t="s">
        <v>151</v>
      </c>
      <c r="J21" s="164" t="s">
        <v>195</v>
      </c>
      <c r="K21" s="164" t="s">
        <v>151</v>
      </c>
      <c r="L21" s="242" t="s">
        <v>158</v>
      </c>
      <c r="M21" s="244"/>
      <c r="O21" s="132" t="str">
        <f>U15</f>
        <v>NVDA</v>
      </c>
      <c r="P21" s="157">
        <f>$K$17*$P$16</f>
        <v>8.4609803354201221E-2</v>
      </c>
      <c r="Q21" s="44">
        <f>$K$17*$P$16*G17</f>
        <v>4.9072467209008173E-2</v>
      </c>
      <c r="R21" s="44">
        <f>$K$17*$P$16*H17</f>
        <v>5.3701294825976749E-2</v>
      </c>
      <c r="S21" s="44">
        <f>$K$17*$P$16*I17</f>
        <v>9.7513872518140018E-2</v>
      </c>
      <c r="T21" s="44">
        <f>$K$17*$P$16*J17</f>
        <v>7.7405391277501692E-2</v>
      </c>
      <c r="U21" s="44">
        <f>K8^2</f>
        <v>0.26003421994979387</v>
      </c>
    </row>
    <row r="22" spans="2:27">
      <c r="C22" s="38" t="s">
        <v>148</v>
      </c>
      <c r="D22" s="167"/>
      <c r="F22" s="346"/>
      <c r="G22" s="164" t="s">
        <v>152</v>
      </c>
      <c r="H22" s="164" t="s">
        <v>152</v>
      </c>
      <c r="I22" s="164" t="s">
        <v>152</v>
      </c>
      <c r="J22" s="164" t="s">
        <v>152</v>
      </c>
      <c r="K22" s="164" t="s">
        <v>152</v>
      </c>
      <c r="L22" s="245" t="s">
        <v>159</v>
      </c>
      <c r="M22" s="246"/>
    </row>
    <row r="23" spans="2:27">
      <c r="C23" s="38" t="s">
        <v>155</v>
      </c>
      <c r="D23" s="43"/>
      <c r="F23" s="346"/>
      <c r="G23" s="164" t="s">
        <v>211</v>
      </c>
      <c r="H23" s="164" t="s">
        <v>211</v>
      </c>
      <c r="I23" s="164" t="s">
        <v>150</v>
      </c>
      <c r="J23" s="164" t="s">
        <v>215</v>
      </c>
      <c r="K23" s="164" t="s">
        <v>150</v>
      </c>
      <c r="L23" s="245" t="s">
        <v>160</v>
      </c>
      <c r="M23" s="246"/>
      <c r="O23" s="36"/>
      <c r="P23" s="36"/>
      <c r="Q23" s="36"/>
      <c r="R23" s="36"/>
      <c r="S23" s="36"/>
      <c r="T23" s="36"/>
      <c r="U23" s="36"/>
    </row>
    <row r="24" spans="2:27" ht="19" thickBot="1">
      <c r="B24" s="36"/>
      <c r="C24" s="38" t="s">
        <v>156</v>
      </c>
      <c r="D24" s="168"/>
      <c r="E24" s="36"/>
      <c r="F24" s="347"/>
      <c r="G24" s="165" t="s">
        <v>212</v>
      </c>
      <c r="H24" s="165" t="s">
        <v>212</v>
      </c>
      <c r="I24" s="165" t="s">
        <v>213</v>
      </c>
      <c r="J24" s="165" t="s">
        <v>214</v>
      </c>
      <c r="K24" s="165" t="s">
        <v>157</v>
      </c>
      <c r="L24" s="247" t="s">
        <v>161</v>
      </c>
      <c r="M24" s="249"/>
      <c r="N24" s="302"/>
      <c r="O24" s="307" t="s">
        <v>41</v>
      </c>
      <c r="P24" s="137" t="str">
        <f t="shared" ref="P24:U24" si="7">P6</f>
        <v>QQQ</v>
      </c>
      <c r="Q24" s="137" t="str">
        <f t="shared" si="7"/>
        <v>V</v>
      </c>
      <c r="R24" s="137" t="str">
        <f t="shared" si="7"/>
        <v>MA</v>
      </c>
      <c r="S24" s="137" t="str">
        <f t="shared" si="7"/>
        <v>TSM</v>
      </c>
      <c r="T24" s="137" t="str">
        <f t="shared" si="7"/>
        <v>GOOGL</v>
      </c>
      <c r="U24" s="137" t="str">
        <f t="shared" si="7"/>
        <v>NVDA</v>
      </c>
    </row>
    <row r="25" spans="2:27" ht="17">
      <c r="B25" s="38" t="s">
        <v>153</v>
      </c>
      <c r="C25" s="39" t="s">
        <v>197</v>
      </c>
      <c r="D25" s="60"/>
      <c r="E25" s="154"/>
      <c r="F25" s="214">
        <v>444.1</v>
      </c>
      <c r="G25" s="159">
        <v>329.61</v>
      </c>
      <c r="H25" s="159">
        <v>517.33000000000004</v>
      </c>
      <c r="I25" s="159">
        <v>151.82</v>
      </c>
      <c r="J25" s="159">
        <v>151.16</v>
      </c>
      <c r="K25" s="170">
        <v>101.49</v>
      </c>
      <c r="O25" s="131" t="str">
        <f>F6</f>
        <v>QQQ</v>
      </c>
      <c r="P25" s="51"/>
      <c r="Q25" s="42"/>
      <c r="R25" s="42"/>
      <c r="S25" s="42"/>
      <c r="T25" s="42"/>
      <c r="U25" s="42"/>
    </row>
    <row r="26" spans="2:27">
      <c r="C26" s="38" t="s">
        <v>42</v>
      </c>
      <c r="D26" s="43"/>
      <c r="E26" s="154"/>
      <c r="F26" s="170"/>
      <c r="G26" s="159">
        <v>9.92</v>
      </c>
      <c r="H26" s="159">
        <v>13.86</v>
      </c>
      <c r="I26" s="159">
        <v>7.04</v>
      </c>
      <c r="J26" s="159">
        <v>8.0399999999999991</v>
      </c>
      <c r="K26" s="170">
        <v>2.94</v>
      </c>
      <c r="O26" s="132" t="str">
        <f>Q24</f>
        <v>V</v>
      </c>
      <c r="P26" s="45"/>
      <c r="Q26" s="44">
        <v>1</v>
      </c>
      <c r="R26" s="45"/>
      <c r="S26" s="45"/>
      <c r="T26" s="45"/>
      <c r="U26" s="45"/>
      <c r="V26" s="50"/>
      <c r="AA26" s="62"/>
    </row>
    <row r="27" spans="2:27">
      <c r="C27" s="38" t="s">
        <v>43</v>
      </c>
      <c r="E27" s="215">
        <v>20.7</v>
      </c>
      <c r="F27" s="170">
        <v>32.81</v>
      </c>
      <c r="G27" s="40">
        <f>G25/G26</f>
        <v>33.226814516129032</v>
      </c>
      <c r="H27" s="40">
        <f>H25/H26</f>
        <v>37.32539682539683</v>
      </c>
      <c r="I27" s="40">
        <f>I25/I26</f>
        <v>21.565340909090907</v>
      </c>
      <c r="J27" s="40">
        <f>J25/J26</f>
        <v>18.800995024875622</v>
      </c>
      <c r="K27" s="170">
        <f>K25/K26</f>
        <v>34.520408163265301</v>
      </c>
      <c r="O27" s="132" t="str">
        <f>R24</f>
        <v>MA</v>
      </c>
      <c r="P27" s="45"/>
      <c r="Q27" s="44">
        <f>CORREL(J39:J97,O39:O97)</f>
        <v>0.89428849938544497</v>
      </c>
      <c r="R27" s="44">
        <v>1</v>
      </c>
      <c r="S27" s="45"/>
      <c r="T27" s="45"/>
      <c r="U27" s="45"/>
      <c r="V27" s="50"/>
      <c r="AA27" s="62"/>
    </row>
    <row r="28" spans="2:27">
      <c r="C28" s="38" t="s">
        <v>44</v>
      </c>
      <c r="D28" s="43"/>
      <c r="E28" s="154"/>
      <c r="F28" s="170"/>
      <c r="G28" s="159">
        <v>2.36</v>
      </c>
      <c r="H28" s="159">
        <v>3.04</v>
      </c>
      <c r="I28" s="159">
        <v>2.74</v>
      </c>
      <c r="J28" s="159">
        <v>0.8</v>
      </c>
      <c r="K28" s="170">
        <v>0.04</v>
      </c>
      <c r="O28" s="132" t="str">
        <f>S24</f>
        <v>TSM</v>
      </c>
      <c r="P28" s="55"/>
      <c r="Q28" s="44">
        <f>CORREL(J39:J97,T39:T97)</f>
        <v>-0.39410540853656822</v>
      </c>
      <c r="R28" s="44">
        <f>CORREL(O39:O97,T39:T97)</f>
        <v>-0.34825931264363347</v>
      </c>
      <c r="S28" s="54">
        <v>1</v>
      </c>
      <c r="T28" s="55"/>
      <c r="U28" s="55"/>
      <c r="V28" s="50"/>
      <c r="AA28" s="62"/>
    </row>
    <row r="29" spans="2:27">
      <c r="C29" s="38" t="s">
        <v>45</v>
      </c>
      <c r="D29" s="43"/>
      <c r="F29" s="177"/>
      <c r="G29" s="160">
        <f>G28/G25</f>
        <v>7.1599769424471335E-3</v>
      </c>
      <c r="H29" s="160">
        <f>H28/H25</f>
        <v>5.8763265227224394E-3</v>
      </c>
      <c r="I29" s="160">
        <f>I28/I25</f>
        <v>1.8047688051640101E-2</v>
      </c>
      <c r="J29" s="160">
        <f>J28/J25</f>
        <v>5.2924053982535066E-3</v>
      </c>
      <c r="K29" s="181">
        <f>K28/K25</f>
        <v>3.9412750024632974E-4</v>
      </c>
      <c r="O29" s="132" t="str">
        <f>T24</f>
        <v>GOOGL</v>
      </c>
      <c r="P29" s="45"/>
      <c r="Q29" s="44">
        <f>CORREL(J39:J97,Y39:Y97)</f>
        <v>-0.13862562547369248</v>
      </c>
      <c r="R29" s="44">
        <f>CORREL(O39:O97,Y39:Y97)</f>
        <v>-0.22212141097465676</v>
      </c>
      <c r="S29" s="44">
        <f>CORREL(T39:T97,Y39:Y97)</f>
        <v>0.19396612078242523</v>
      </c>
      <c r="T29" s="44">
        <v>1</v>
      </c>
      <c r="U29" s="45"/>
      <c r="V29" s="50"/>
      <c r="AA29" s="62"/>
    </row>
    <row r="30" spans="2:27">
      <c r="C30" s="38" t="s">
        <v>147</v>
      </c>
      <c r="D30" s="43"/>
      <c r="F30" s="177"/>
      <c r="G30" s="161">
        <v>374.36</v>
      </c>
      <c r="H30" s="161">
        <v>613.01</v>
      </c>
      <c r="I30" s="161">
        <v>228</v>
      </c>
      <c r="J30" s="161">
        <v>205.39</v>
      </c>
      <c r="K30" s="177">
        <v>165.48</v>
      </c>
      <c r="O30" s="132" t="str">
        <f>U24</f>
        <v>NVDA</v>
      </c>
      <c r="P30" s="45"/>
      <c r="Q30" s="44">
        <f>CORREL(J39:J97,AD39:AD97)</f>
        <v>-0.27614132474530384</v>
      </c>
      <c r="R30" s="44">
        <f>CORREL(O39:O97,AD39:AD97)</f>
        <v>-0.26699746263532248</v>
      </c>
      <c r="S30" s="44">
        <f>CORREL(T39:T97,AD39:AD97)</f>
        <v>0.18240408795928079</v>
      </c>
      <c r="T30" s="44">
        <f>CORREL(Y39:Y97,AD39:AD97)</f>
        <v>-3.9319653361430847E-2</v>
      </c>
      <c r="U30" s="44">
        <v>1</v>
      </c>
      <c r="V30" s="50"/>
      <c r="AA30" s="62"/>
    </row>
    <row r="31" spans="2:27">
      <c r="C31" s="46" t="s">
        <v>198</v>
      </c>
      <c r="D31" s="47"/>
      <c r="E31" s="36"/>
      <c r="F31" s="178"/>
      <c r="G31" s="162">
        <f>G30/G25-1</f>
        <v>0.13576651193835132</v>
      </c>
      <c r="H31" s="162">
        <f>H30/H25-1</f>
        <v>0.18494964529410618</v>
      </c>
      <c r="I31" s="162">
        <f>I30/I25-1</f>
        <v>0.50177842181530763</v>
      </c>
      <c r="J31" s="162">
        <f>J30/J25-1</f>
        <v>0.35875893093410949</v>
      </c>
      <c r="K31" s="182">
        <f>K30/K25-1</f>
        <v>0.63050546851906586</v>
      </c>
      <c r="O31" s="163"/>
      <c r="P31" s="45"/>
      <c r="V31" s="50"/>
      <c r="AA31" s="62"/>
    </row>
    <row r="32" spans="2:27">
      <c r="B32" s="311" t="s">
        <v>88</v>
      </c>
      <c r="C32" s="297"/>
      <c r="D32" s="297"/>
      <c r="E32" s="297"/>
      <c r="F32" s="312">
        <f>'Security Allocation'!D54</f>
        <v>0</v>
      </c>
      <c r="G32" s="313">
        <f>'Security Allocation'!F54</f>
        <v>7.4254092346974568E-2</v>
      </c>
      <c r="H32" s="313">
        <f>'Security Allocation'!G54</f>
        <v>6.1542227220697729E-2</v>
      </c>
      <c r="I32" s="313">
        <f>'Security Allocation'!H54</f>
        <v>0.14184809927635103</v>
      </c>
      <c r="J32" s="313">
        <f>'Security Allocation'!I54</f>
        <v>0.24138345510585718</v>
      </c>
      <c r="K32" s="312">
        <f>'Security Allocation'!J54</f>
        <v>0.48097212605011941</v>
      </c>
      <c r="O32" s="163"/>
      <c r="P32" s="45"/>
      <c r="V32" s="50"/>
      <c r="AA32" s="62"/>
    </row>
    <row r="33" spans="2:37">
      <c r="O33" s="163"/>
      <c r="P33" s="45"/>
      <c r="V33" s="50"/>
      <c r="AA33" s="62"/>
    </row>
    <row r="34" spans="2:37" ht="23">
      <c r="B34" s="33" t="s">
        <v>46</v>
      </c>
      <c r="C34" s="34"/>
      <c r="D34" s="34"/>
      <c r="E34" s="34"/>
    </row>
    <row r="35" spans="2:37" ht="8" customHeight="1">
      <c r="B35" s="34"/>
      <c r="C35" s="34"/>
      <c r="D35" s="34"/>
      <c r="E35" s="34"/>
    </row>
    <row r="36" spans="2:37" ht="22" customHeight="1">
      <c r="B36" s="314" t="s">
        <v>47</v>
      </c>
      <c r="C36" s="349" t="s">
        <v>209</v>
      </c>
      <c r="D36" s="348"/>
      <c r="E36" s="350"/>
      <c r="F36" s="351" t="s">
        <v>201</v>
      </c>
      <c r="G36" s="348"/>
      <c r="H36" s="348"/>
      <c r="I36" s="348"/>
      <c r="J36" s="350"/>
      <c r="K36" s="349" t="s">
        <v>202</v>
      </c>
      <c r="L36" s="348"/>
      <c r="M36" s="348"/>
      <c r="N36" s="348"/>
      <c r="O36" s="350"/>
      <c r="P36" s="349" t="s">
        <v>203</v>
      </c>
      <c r="Q36" s="348"/>
      <c r="R36" s="348"/>
      <c r="S36" s="348"/>
      <c r="T36" s="350"/>
      <c r="U36" s="349" t="s">
        <v>204</v>
      </c>
      <c r="V36" s="348"/>
      <c r="W36" s="348"/>
      <c r="X36" s="348"/>
      <c r="Y36" s="350"/>
      <c r="Z36" s="348" t="s">
        <v>205</v>
      </c>
      <c r="AA36" s="348"/>
      <c r="AB36" s="348"/>
      <c r="AC36" s="348"/>
      <c r="AD36" s="348"/>
      <c r="AE36" s="348" t="s">
        <v>87</v>
      </c>
      <c r="AF36" s="350"/>
      <c r="AG36" s="349" t="s">
        <v>216</v>
      </c>
      <c r="AH36" s="348"/>
      <c r="AI36" s="348"/>
      <c r="AJ36" s="297"/>
      <c r="AK36" s="315" t="s">
        <v>190</v>
      </c>
    </row>
    <row r="37" spans="2:37" s="67" customFormat="1" ht="42">
      <c r="B37" s="63" t="s">
        <v>48</v>
      </c>
      <c r="C37" s="64" t="s">
        <v>49</v>
      </c>
      <c r="D37" s="65" t="s">
        <v>50</v>
      </c>
      <c r="E37" s="123" t="s">
        <v>143</v>
      </c>
      <c r="F37" s="64" t="s">
        <v>49</v>
      </c>
      <c r="G37" s="65" t="s">
        <v>50</v>
      </c>
      <c r="H37" s="65" t="s">
        <v>51</v>
      </c>
      <c r="I37" s="65" t="s">
        <v>52</v>
      </c>
      <c r="J37" s="66" t="s">
        <v>53</v>
      </c>
      <c r="K37" s="64" t="s">
        <v>49</v>
      </c>
      <c r="L37" s="65" t="s">
        <v>50</v>
      </c>
      <c r="M37" s="65" t="s">
        <v>51</v>
      </c>
      <c r="N37" s="65" t="s">
        <v>52</v>
      </c>
      <c r="O37" s="66" t="s">
        <v>53</v>
      </c>
      <c r="P37" s="64" t="s">
        <v>49</v>
      </c>
      <c r="Q37" s="65" t="s">
        <v>50</v>
      </c>
      <c r="R37" s="65" t="s">
        <v>51</v>
      </c>
      <c r="S37" s="65" t="s">
        <v>52</v>
      </c>
      <c r="T37" s="66" t="s">
        <v>53</v>
      </c>
      <c r="U37" s="64" t="s">
        <v>49</v>
      </c>
      <c r="V37" s="65" t="s">
        <v>50</v>
      </c>
      <c r="W37" s="65" t="s">
        <v>51</v>
      </c>
      <c r="X37" s="65" t="s">
        <v>52</v>
      </c>
      <c r="Y37" s="66" t="s">
        <v>53</v>
      </c>
      <c r="Z37" s="64" t="s">
        <v>49</v>
      </c>
      <c r="AA37" s="65" t="s">
        <v>50</v>
      </c>
      <c r="AB37" s="65" t="s">
        <v>51</v>
      </c>
      <c r="AC37" s="65" t="s">
        <v>52</v>
      </c>
      <c r="AD37" s="66" t="s">
        <v>53</v>
      </c>
      <c r="AE37" s="153" t="s">
        <v>144</v>
      </c>
      <c r="AF37" s="123" t="s">
        <v>145</v>
      </c>
      <c r="AG37" s="64" t="s">
        <v>49</v>
      </c>
      <c r="AH37" s="65" t="s">
        <v>50</v>
      </c>
      <c r="AI37" s="65" t="s">
        <v>51</v>
      </c>
      <c r="AK37" s="208" t="s">
        <v>191</v>
      </c>
    </row>
    <row r="38" spans="2:37">
      <c r="B38" s="209">
        <v>43952</v>
      </c>
      <c r="C38">
        <v>233.24</v>
      </c>
      <c r="D38" s="68"/>
      <c r="E38" s="69"/>
      <c r="F38">
        <v>195.24</v>
      </c>
      <c r="J38" s="43"/>
      <c r="K38">
        <v>300.89</v>
      </c>
      <c r="O38" s="43"/>
      <c r="P38">
        <v>50.33</v>
      </c>
      <c r="T38" s="43"/>
      <c r="U38">
        <v>71.680000000000007</v>
      </c>
      <c r="Y38" s="43"/>
      <c r="Z38">
        <v>8.8800000000000008</v>
      </c>
      <c r="AD38" s="43"/>
      <c r="AE38" s="152">
        <f>C38</f>
        <v>233.24</v>
      </c>
      <c r="AF38" s="69"/>
      <c r="AG38">
        <v>163.59</v>
      </c>
      <c r="AH38" s="68"/>
      <c r="AI38" s="68"/>
    </row>
    <row r="39" spans="2:37">
      <c r="B39" s="209">
        <v>43983</v>
      </c>
      <c r="C39">
        <v>247.47</v>
      </c>
      <c r="D39" s="70">
        <f>C39/C38-1</f>
        <v>6.101011833304737E-2</v>
      </c>
      <c r="E39" s="71">
        <f>D39-$E$7/12</f>
        <v>5.7676784999714036E-2</v>
      </c>
      <c r="F39">
        <v>193.17</v>
      </c>
      <c r="G39" s="70">
        <f>F39/F38-1</f>
        <v>-1.0602335586969991E-2</v>
      </c>
      <c r="H39" s="70">
        <f t="shared" ref="H39:H70" si="8">G39-$E$7/12</f>
        <v>-1.3935668920303325E-2</v>
      </c>
      <c r="I39" s="70">
        <f t="shared" ref="I39:I70" si="9">$G$17*E39</f>
        <v>3.3451704511956455E-2</v>
      </c>
      <c r="J39" s="71">
        <f>H39-$G$13/12-I39</f>
        <v>-4.9570280895711853E-2</v>
      </c>
      <c r="K39">
        <v>295.7</v>
      </c>
      <c r="L39" s="70">
        <f>K39/K38-1</f>
        <v>-1.724882847552256E-2</v>
      </c>
      <c r="M39" s="70">
        <f t="shared" ref="M39:M70" si="10">L39-$E$7/12</f>
        <v>-2.0582161808855894E-2</v>
      </c>
      <c r="N39" s="70">
        <f t="shared" ref="N39:N70" si="11">$H$17*E39</f>
        <v>3.6607082313119717E-2</v>
      </c>
      <c r="O39" s="71">
        <f t="shared" ref="O39:O70" si="12">M39-$G$13/12-N39</f>
        <v>-5.9372151585427684E-2</v>
      </c>
      <c r="P39">
        <v>56.77</v>
      </c>
      <c r="Q39" s="70">
        <f>P39/P38-1</f>
        <v>0.12795549374130744</v>
      </c>
      <c r="R39" s="70">
        <f t="shared" ref="R39:R70" si="13">Q39-$E$7/12</f>
        <v>0.12462216040797411</v>
      </c>
      <c r="S39" s="70">
        <f>$I$17*E39</f>
        <v>6.6473226940067298E-2</v>
      </c>
      <c r="T39" s="71">
        <f t="shared" ref="T39:T70" si="14">R39-$I$13/12-S39</f>
        <v>4.8032658727483565E-2</v>
      </c>
      <c r="U39">
        <v>70.900000000000006</v>
      </c>
      <c r="V39" s="70">
        <f>U39/U38-1</f>
        <v>-1.0881696428571397E-2</v>
      </c>
      <c r="W39" s="70">
        <f t="shared" ref="W39:W70" si="15">V39-$E$7/12</f>
        <v>-1.4215029761904731E-2</v>
      </c>
      <c r="X39" s="70">
        <f t="shared" ref="X39:X70" si="16">$J$17*E39</f>
        <v>5.2765683567913946E-2</v>
      </c>
      <c r="Y39" s="71">
        <f t="shared" ref="Y39:Y70" si="17">W39-$J$13/12-X39</f>
        <v>-7.0807234229579394E-2</v>
      </c>
      <c r="Z39">
        <v>9.5</v>
      </c>
      <c r="AA39" s="70">
        <f>Z39/Z38-1</f>
        <v>6.9819819819819662E-2</v>
      </c>
      <c r="AB39" s="70">
        <f t="shared" ref="AB39:AB70" si="18">AA39-$E$7/12</f>
        <v>6.6486486486486335E-2</v>
      </c>
      <c r="AC39" s="70">
        <f t="shared" ref="AC39:AC70" si="19">$K$17*E39</f>
        <v>0.11286351020664838</v>
      </c>
      <c r="AD39" s="71">
        <f t="shared" ref="AD39:AD70" si="20">AB39-$K$13/12-AC39</f>
        <v>-7.7132563827616088E-2</v>
      </c>
      <c r="AE39" s="151">
        <f t="shared" ref="AE39:AE70" si="21">AE38*(1+AF39)</f>
        <v>243.48456269233714</v>
      </c>
      <c r="AF39" s="71">
        <f t="shared" ref="AF39:AF70" si="22">$F$32*E39+$G$32*H39+$H$32*M39+$I$32*R39+$J$32*W39+$K$32*AB39</f>
        <v>4.3922837816571525E-2</v>
      </c>
      <c r="AG39">
        <v>163.93</v>
      </c>
      <c r="AH39" s="70">
        <f>AG39/AG38-1</f>
        <v>2.0783666483281671E-3</v>
      </c>
      <c r="AI39" s="70">
        <f t="shared" ref="AI39:AI97" si="23">AH39-$E$7/12</f>
        <v>-1.2549666850051665E-3</v>
      </c>
      <c r="AK39" s="204">
        <f>AF39-E39</f>
        <v>-1.3753947183142511E-2</v>
      </c>
    </row>
    <row r="40" spans="2:37">
      <c r="B40" s="209">
        <v>44013</v>
      </c>
      <c r="C40">
        <v>265.64999999999998</v>
      </c>
      <c r="D40" s="70">
        <f t="shared" ref="D40:D96" si="24">C40/C39-1</f>
        <v>7.3463450115165418E-2</v>
      </c>
      <c r="E40" s="71">
        <f t="shared" ref="E40:E70" si="25">D40-$E$7/12</f>
        <v>7.0130116781832091E-2</v>
      </c>
      <c r="F40">
        <v>190.4</v>
      </c>
      <c r="G40" s="70">
        <f t="shared" ref="G40:G97" si="26">F40/F39-1</f>
        <v>-1.4339700781694775E-2</v>
      </c>
      <c r="H40" s="70">
        <f t="shared" si="8"/>
        <v>-1.7673034115028109E-2</v>
      </c>
      <c r="I40" s="70">
        <f t="shared" si="9"/>
        <v>4.067445756531813E-2</v>
      </c>
      <c r="J40" s="71">
        <f t="shared" ref="J40:J70" si="27">H40-$G$13/12-I40</f>
        <v>-6.0530399143798312E-2</v>
      </c>
      <c r="K40">
        <v>308.52999999999997</v>
      </c>
      <c r="L40" s="70">
        <f t="shared" ref="L40:L97" si="28">K40/K39-1</f>
        <v>4.3388569496110918E-2</v>
      </c>
      <c r="M40" s="70">
        <f t="shared" si="10"/>
        <v>4.0055236162777584E-2</v>
      </c>
      <c r="N40" s="70">
        <f t="shared" si="11"/>
        <v>4.4511131431371462E-2</v>
      </c>
      <c r="O40" s="71">
        <f t="shared" si="12"/>
        <v>-6.6388027320459508E-3</v>
      </c>
      <c r="P40">
        <v>78.89</v>
      </c>
      <c r="Q40" s="70">
        <f t="shared" ref="Q40:Q97" si="29">P40/P39-1</f>
        <v>0.38964241676942035</v>
      </c>
      <c r="R40" s="70">
        <f t="shared" si="13"/>
        <v>0.386309083436087</v>
      </c>
      <c r="S40" s="70">
        <f t="shared" ref="S40:S71" si="30">$G$17*O40</f>
        <v>-3.8504099579522587E-3</v>
      </c>
      <c r="T40" s="71">
        <f t="shared" si="14"/>
        <v>0.38004321865361601</v>
      </c>
      <c r="U40">
        <v>74.400000000000006</v>
      </c>
      <c r="V40" s="70">
        <f t="shared" ref="V40:V97" si="31">U40/U39-1</f>
        <v>4.9365303244005565E-2</v>
      </c>
      <c r="W40" s="70">
        <f t="shared" si="15"/>
        <v>4.6031969910672231E-2</v>
      </c>
      <c r="X40" s="70">
        <f t="shared" si="16"/>
        <v>6.4158630733480562E-2</v>
      </c>
      <c r="Y40" s="71">
        <f t="shared" si="17"/>
        <v>-2.1953181722569048E-2</v>
      </c>
      <c r="Z40">
        <v>10.61</v>
      </c>
      <c r="AA40" s="70">
        <f t="shared" ref="AA40:AA97" si="32">Z40/Z39-1</f>
        <v>0.11684210526315786</v>
      </c>
      <c r="AB40" s="70">
        <f t="shared" si="18"/>
        <v>0.11350877192982453</v>
      </c>
      <c r="AC40" s="70">
        <f t="shared" si="19"/>
        <v>0.13723253040610695</v>
      </c>
      <c r="AD40" s="71">
        <f t="shared" si="20"/>
        <v>-5.4479298583736457E-2</v>
      </c>
      <c r="AE40" s="151">
        <f t="shared" si="21"/>
        <v>273.10589967734705</v>
      </c>
      <c r="AF40" s="71">
        <f t="shared" si="22"/>
        <v>0.12165591385947082</v>
      </c>
      <c r="AG40">
        <v>171</v>
      </c>
      <c r="AH40" s="70">
        <f t="shared" ref="AH40:AH94" si="33">AG40/AG39-1</f>
        <v>4.3128164460440432E-2</v>
      </c>
      <c r="AI40" s="70">
        <f t="shared" si="23"/>
        <v>3.9794831127107098E-2</v>
      </c>
      <c r="AK40" s="204">
        <f t="shared" ref="AK40:AK97" si="34">AF40-E40</f>
        <v>5.1525797077638727E-2</v>
      </c>
    </row>
    <row r="41" spans="2:37">
      <c r="B41" s="209">
        <v>44044</v>
      </c>
      <c r="C41">
        <v>294.73</v>
      </c>
      <c r="D41" s="70">
        <f t="shared" si="24"/>
        <v>0.10946734424995319</v>
      </c>
      <c r="E41" s="71">
        <f t="shared" si="25"/>
        <v>0.10613401091661986</v>
      </c>
      <c r="F41">
        <v>211.99</v>
      </c>
      <c r="G41" s="70">
        <f t="shared" si="26"/>
        <v>0.11339285714285707</v>
      </c>
      <c r="H41" s="70">
        <f t="shared" si="8"/>
        <v>0.11005952380952375</v>
      </c>
      <c r="I41" s="70">
        <f t="shared" si="9"/>
        <v>6.1556197556246098E-2</v>
      </c>
      <c r="J41" s="71">
        <f t="shared" si="27"/>
        <v>4.6320418789825582E-2</v>
      </c>
      <c r="K41">
        <v>358.19</v>
      </c>
      <c r="L41" s="70">
        <f t="shared" si="28"/>
        <v>0.1609567951252715</v>
      </c>
      <c r="M41" s="70">
        <f t="shared" si="10"/>
        <v>0.15762346179193817</v>
      </c>
      <c r="N41" s="70">
        <f t="shared" si="11"/>
        <v>6.7362570120118745E-2</v>
      </c>
      <c r="O41" s="71">
        <f t="shared" si="12"/>
        <v>8.8077984208367363E-2</v>
      </c>
      <c r="P41">
        <v>79.25</v>
      </c>
      <c r="Q41" s="70">
        <f t="shared" si="29"/>
        <v>4.5633160096336667E-3</v>
      </c>
      <c r="R41" s="70">
        <f t="shared" si="13"/>
        <v>1.2299826763003331E-3</v>
      </c>
      <c r="S41" s="70">
        <f t="shared" si="30"/>
        <v>5.1083962148058014E-2</v>
      </c>
      <c r="T41" s="71">
        <f t="shared" si="14"/>
        <v>-5.9970254212180919E-2</v>
      </c>
      <c r="U41">
        <v>81.48</v>
      </c>
      <c r="V41" s="70">
        <f t="shared" si="31"/>
        <v>9.5161290322580694E-2</v>
      </c>
      <c r="W41" s="70">
        <f t="shared" si="15"/>
        <v>9.1827956989247367E-2</v>
      </c>
      <c r="X41" s="70">
        <f t="shared" si="16"/>
        <v>9.7096841230794234E-2</v>
      </c>
      <c r="Y41" s="71">
        <f t="shared" si="17"/>
        <v>-9.0954051413075776E-3</v>
      </c>
      <c r="Z41">
        <v>13.37</v>
      </c>
      <c r="AA41" s="70">
        <f t="shared" si="32"/>
        <v>0.26013195098963249</v>
      </c>
      <c r="AB41" s="70">
        <f t="shared" si="18"/>
        <v>0.25679861765629913</v>
      </c>
      <c r="AC41" s="70">
        <f t="shared" si="19"/>
        <v>0.2076859350676333</v>
      </c>
      <c r="AD41" s="71">
        <f t="shared" si="20"/>
        <v>1.8357142481211786E-2</v>
      </c>
      <c r="AE41" s="151">
        <f t="shared" si="21"/>
        <v>317.82045431062573</v>
      </c>
      <c r="AF41" s="71">
        <f t="shared" si="22"/>
        <v>0.16372606628456338</v>
      </c>
      <c r="AG41">
        <v>162.19</v>
      </c>
      <c r="AH41" s="70">
        <f t="shared" si="33"/>
        <v>-5.15204678362573E-2</v>
      </c>
      <c r="AI41" s="70">
        <f t="shared" si="23"/>
        <v>-5.4853801169590634E-2</v>
      </c>
      <c r="AK41" s="204">
        <f t="shared" si="34"/>
        <v>5.7592055367943512E-2</v>
      </c>
    </row>
    <row r="42" spans="2:37">
      <c r="B42" s="209">
        <v>44075</v>
      </c>
      <c r="C42">
        <v>277.69</v>
      </c>
      <c r="D42" s="70">
        <f t="shared" si="24"/>
        <v>-5.7815627862789709E-2</v>
      </c>
      <c r="E42" s="71">
        <f t="shared" si="25"/>
        <v>-6.1148961196123043E-2</v>
      </c>
      <c r="F42">
        <v>199.97</v>
      </c>
      <c r="G42" s="70">
        <f t="shared" si="26"/>
        <v>-5.6700787773008243E-2</v>
      </c>
      <c r="H42" s="70">
        <f t="shared" si="8"/>
        <v>-6.0034121106341577E-2</v>
      </c>
      <c r="I42" s="70">
        <f t="shared" si="9"/>
        <v>-3.5465516691957459E-2</v>
      </c>
      <c r="J42" s="71">
        <f t="shared" si="27"/>
        <v>-2.6751511877836191E-2</v>
      </c>
      <c r="K42">
        <v>338.17</v>
      </c>
      <c r="L42" s="70">
        <f t="shared" si="28"/>
        <v>-5.5892124291577083E-2</v>
      </c>
      <c r="M42" s="70">
        <f t="shared" si="10"/>
        <v>-5.9225457624910417E-2</v>
      </c>
      <c r="N42" s="70">
        <f t="shared" si="11"/>
        <v>-3.8810850082565074E-2</v>
      </c>
      <c r="O42" s="71">
        <f t="shared" si="12"/>
        <v>-2.2597515005797417E-2</v>
      </c>
      <c r="P42">
        <v>81.069999999999993</v>
      </c>
      <c r="Q42" s="70">
        <f t="shared" si="29"/>
        <v>2.2965299684542417E-2</v>
      </c>
      <c r="R42" s="70">
        <f t="shared" si="13"/>
        <v>1.9631966351209083E-2</v>
      </c>
      <c r="S42" s="70">
        <f t="shared" si="30"/>
        <v>-1.3106233204263814E-2</v>
      </c>
      <c r="T42" s="71">
        <f t="shared" si="14"/>
        <v>2.2621924815049658E-2</v>
      </c>
      <c r="U42">
        <v>73.28</v>
      </c>
      <c r="V42" s="70">
        <f t="shared" si="31"/>
        <v>-0.10063819342169855</v>
      </c>
      <c r="W42" s="70">
        <f t="shared" si="15"/>
        <v>-0.10397152675503188</v>
      </c>
      <c r="X42" s="70">
        <f t="shared" si="16"/>
        <v>-5.5942208585261374E-2</v>
      </c>
      <c r="Y42" s="71">
        <f t="shared" si="17"/>
        <v>-5.1855839069531215E-2</v>
      </c>
      <c r="Z42">
        <v>13.53</v>
      </c>
      <c r="AA42" s="70">
        <f t="shared" si="32"/>
        <v>1.1967090501121991E-2</v>
      </c>
      <c r="AB42" s="70">
        <f t="shared" si="18"/>
        <v>8.6337571677886568E-3</v>
      </c>
      <c r="AC42" s="70">
        <f t="shared" si="19"/>
        <v>-0.11965795954332052</v>
      </c>
      <c r="AD42" s="71">
        <f t="shared" si="20"/>
        <v>9.7536176603655142E-2</v>
      </c>
      <c r="AE42" s="151">
        <f t="shared" si="21"/>
        <v>309.47375868568946</v>
      </c>
      <c r="AF42" s="71">
        <f t="shared" si="22"/>
        <v>-2.6262298450994394E-2</v>
      </c>
      <c r="AG42">
        <v>163.26</v>
      </c>
      <c r="AH42" s="70">
        <f t="shared" si="33"/>
        <v>6.5972008138601712E-3</v>
      </c>
      <c r="AI42" s="70">
        <f t="shared" si="23"/>
        <v>3.2638674805268377E-3</v>
      </c>
      <c r="AK42" s="204">
        <f t="shared" si="34"/>
        <v>3.4886662745128652E-2</v>
      </c>
    </row>
    <row r="43" spans="2:37">
      <c r="B43" s="209">
        <v>44105</v>
      </c>
      <c r="C43">
        <v>269.24</v>
      </c>
      <c r="D43" s="70">
        <f t="shared" si="24"/>
        <v>-3.042961575857972E-2</v>
      </c>
      <c r="E43" s="71">
        <f t="shared" si="25"/>
        <v>-3.3762949091913054E-2</v>
      </c>
      <c r="F43">
        <v>181.71</v>
      </c>
      <c r="G43" s="70">
        <f t="shared" si="26"/>
        <v>-9.1313697054558163E-2</v>
      </c>
      <c r="H43" s="70">
        <f t="shared" si="8"/>
        <v>-9.464703038789149E-2</v>
      </c>
      <c r="I43" s="70">
        <f t="shared" si="9"/>
        <v>-1.9582024145078543E-2</v>
      </c>
      <c r="J43" s="71">
        <f t="shared" si="27"/>
        <v>-7.724791370626502E-2</v>
      </c>
      <c r="K43">
        <v>288.64</v>
      </c>
      <c r="L43" s="70">
        <f t="shared" si="28"/>
        <v>-0.14646479581275695</v>
      </c>
      <c r="M43" s="70">
        <f t="shared" si="10"/>
        <v>-0.14979812914609028</v>
      </c>
      <c r="N43" s="70">
        <f t="shared" si="11"/>
        <v>-2.1429125367293959E-2</v>
      </c>
      <c r="O43" s="71">
        <f t="shared" si="12"/>
        <v>-0.13055191124224838</v>
      </c>
      <c r="P43">
        <v>83.87</v>
      </c>
      <c r="Q43" s="70">
        <f t="shared" si="29"/>
        <v>3.4538053533983204E-2</v>
      </c>
      <c r="R43" s="70">
        <f t="shared" si="13"/>
        <v>3.120472020064987E-2</v>
      </c>
      <c r="S43" s="70">
        <f t="shared" si="30"/>
        <v>-7.5718228024819895E-2</v>
      </c>
      <c r="T43" s="71">
        <f t="shared" si="14"/>
        <v>9.6806673485046527E-2</v>
      </c>
      <c r="U43">
        <v>80.81</v>
      </c>
      <c r="V43" s="70">
        <f t="shared" si="31"/>
        <v>0.10275655021834051</v>
      </c>
      <c r="W43" s="70">
        <f t="shared" si="15"/>
        <v>9.9423216885007187E-2</v>
      </c>
      <c r="X43" s="70">
        <f t="shared" si="16"/>
        <v>-3.0888078940466333E-2</v>
      </c>
      <c r="Y43" s="71">
        <f t="shared" si="17"/>
        <v>0.12648477492571281</v>
      </c>
      <c r="Z43">
        <v>12.53</v>
      </c>
      <c r="AA43" s="70">
        <f t="shared" si="32"/>
        <v>-7.3909830007391042E-2</v>
      </c>
      <c r="AB43" s="70">
        <f t="shared" si="18"/>
        <v>-7.7243163340724369E-2</v>
      </c>
      <c r="AC43" s="70">
        <f t="shared" si="19"/>
        <v>-6.606826211725518E-2</v>
      </c>
      <c r="AD43" s="71">
        <f t="shared" si="20"/>
        <v>-4.1930441330923232E-2</v>
      </c>
      <c r="AE43" s="151">
        <f t="shared" si="21"/>
        <v>301.74520908803095</v>
      </c>
      <c r="AF43" s="71">
        <f t="shared" si="22"/>
        <v>-2.4973198472403785E-2</v>
      </c>
      <c r="AG43">
        <v>157.57</v>
      </c>
      <c r="AH43" s="70">
        <f t="shared" si="33"/>
        <v>-3.4852382702437845E-2</v>
      </c>
      <c r="AI43" s="70">
        <f t="shared" si="23"/>
        <v>-3.8185716035771179E-2</v>
      </c>
      <c r="AK43" s="204">
        <f t="shared" si="34"/>
        <v>8.7897506195092692E-3</v>
      </c>
    </row>
    <row r="44" spans="2:37">
      <c r="B44" s="209">
        <v>44136</v>
      </c>
      <c r="C44">
        <v>299.45999999999998</v>
      </c>
      <c r="D44" s="70">
        <f t="shared" si="24"/>
        <v>0.11224186599316588</v>
      </c>
      <c r="E44" s="71">
        <f t="shared" si="25"/>
        <v>0.10890853265983255</v>
      </c>
      <c r="F44">
        <v>210.35</v>
      </c>
      <c r="G44" s="70">
        <f t="shared" si="26"/>
        <v>0.15761378019921835</v>
      </c>
      <c r="H44" s="70">
        <f t="shared" si="8"/>
        <v>0.15428044686588502</v>
      </c>
      <c r="I44" s="70">
        <f t="shared" si="9"/>
        <v>6.3165380202546667E-2</v>
      </c>
      <c r="J44" s="71">
        <f t="shared" si="27"/>
        <v>8.8932159199886285E-2</v>
      </c>
      <c r="K44">
        <v>336.51</v>
      </c>
      <c r="L44" s="70">
        <f t="shared" si="28"/>
        <v>0.1658467294900221</v>
      </c>
      <c r="M44" s="70">
        <f t="shared" si="10"/>
        <v>0.16251339615668878</v>
      </c>
      <c r="N44" s="70">
        <f t="shared" si="11"/>
        <v>6.9123541121429419E-2</v>
      </c>
      <c r="O44" s="71">
        <f t="shared" si="12"/>
        <v>9.1206947571807293E-2</v>
      </c>
      <c r="P44">
        <v>97.02</v>
      </c>
      <c r="Q44" s="70">
        <f t="shared" si="29"/>
        <v>0.15679027065696904</v>
      </c>
      <c r="R44" s="70">
        <f t="shared" si="13"/>
        <v>0.15345693732363572</v>
      </c>
      <c r="S44" s="70">
        <f t="shared" si="30"/>
        <v>5.2898715828642827E-2</v>
      </c>
      <c r="T44" s="71">
        <f t="shared" si="14"/>
        <v>9.0441946754569652E-2</v>
      </c>
      <c r="U44">
        <v>87.72</v>
      </c>
      <c r="V44" s="70">
        <f t="shared" si="31"/>
        <v>8.5509219156044924E-2</v>
      </c>
      <c r="W44" s="70">
        <f t="shared" si="15"/>
        <v>8.2175885822711597E-2</v>
      </c>
      <c r="X44" s="70">
        <f t="shared" si="16"/>
        <v>9.9635116142535299E-2</v>
      </c>
      <c r="Y44" s="71">
        <f t="shared" si="17"/>
        <v>-2.1285751219584412E-2</v>
      </c>
      <c r="Z44">
        <v>13.4</v>
      </c>
      <c r="AA44" s="70">
        <f t="shared" si="32"/>
        <v>6.9433359936153405E-2</v>
      </c>
      <c r="AB44" s="70">
        <f t="shared" si="18"/>
        <v>6.6100026602820078E-2</v>
      </c>
      <c r="AC44" s="70">
        <f t="shared" si="19"/>
        <v>0.21311519509114546</v>
      </c>
      <c r="AD44" s="71">
        <f t="shared" si="20"/>
        <v>-0.17777070859577943</v>
      </c>
      <c r="AE44" s="151">
        <f t="shared" si="21"/>
        <v>330.36668824841701</v>
      </c>
      <c r="AF44" s="71">
        <f t="shared" si="22"/>
        <v>9.4853135355120369E-2</v>
      </c>
      <c r="AG44">
        <v>160.02000000000001</v>
      </c>
      <c r="AH44" s="70">
        <f t="shared" si="33"/>
        <v>1.5548645046645992E-2</v>
      </c>
      <c r="AI44" s="70">
        <f t="shared" si="23"/>
        <v>1.2215311713312658E-2</v>
      </c>
      <c r="AK44" s="204">
        <f t="shared" si="34"/>
        <v>-1.4055397304712183E-2</v>
      </c>
    </row>
    <row r="45" spans="2:37">
      <c r="B45" s="209">
        <v>44166</v>
      </c>
      <c r="C45">
        <v>313.58</v>
      </c>
      <c r="D45" s="70">
        <f t="shared" si="24"/>
        <v>4.7151539437654488E-2</v>
      </c>
      <c r="E45" s="71">
        <f t="shared" si="25"/>
        <v>4.3818206104321154E-2</v>
      </c>
      <c r="F45">
        <v>218.73</v>
      </c>
      <c r="G45" s="70">
        <f t="shared" si="26"/>
        <v>3.9838364630377932E-2</v>
      </c>
      <c r="H45" s="70">
        <f t="shared" si="8"/>
        <v>3.6505031297044598E-2</v>
      </c>
      <c r="I45" s="70">
        <f t="shared" si="9"/>
        <v>2.5413928374354178E-2</v>
      </c>
      <c r="J45" s="71">
        <f t="shared" si="27"/>
        <v>8.908195459238346E-3</v>
      </c>
      <c r="K45">
        <v>356.94</v>
      </c>
      <c r="L45" s="70">
        <f t="shared" si="28"/>
        <v>6.0711420165819652E-2</v>
      </c>
      <c r="M45" s="70">
        <f t="shared" si="10"/>
        <v>5.7378086832486318E-2</v>
      </c>
      <c r="N45" s="70">
        <f t="shared" si="11"/>
        <v>2.7811131942983337E-2</v>
      </c>
      <c r="O45" s="71">
        <f t="shared" si="12"/>
        <v>2.7384047426050908E-2</v>
      </c>
      <c r="P45">
        <v>109.04</v>
      </c>
      <c r="Q45" s="70">
        <f t="shared" si="29"/>
        <v>0.12389198103483823</v>
      </c>
      <c r="R45" s="70">
        <f t="shared" si="13"/>
        <v>0.1205586477015049</v>
      </c>
      <c r="S45" s="70">
        <f t="shared" si="30"/>
        <v>1.5882353061846263E-2</v>
      </c>
      <c r="T45" s="71">
        <f t="shared" si="14"/>
        <v>9.456001989923539E-2</v>
      </c>
      <c r="U45">
        <v>87.63</v>
      </c>
      <c r="V45" s="70">
        <f t="shared" si="31"/>
        <v>-1.0259917920657502E-3</v>
      </c>
      <c r="W45" s="70">
        <f t="shared" si="15"/>
        <v>-4.3593251253990842E-3</v>
      </c>
      <c r="X45" s="70">
        <f t="shared" si="16"/>
        <v>4.008714420933325E-2</v>
      </c>
      <c r="Y45" s="71">
        <f t="shared" si="17"/>
        <v>-4.8272990234493052E-2</v>
      </c>
      <c r="Z45">
        <v>13.06</v>
      </c>
      <c r="AA45" s="70">
        <f t="shared" si="32"/>
        <v>-2.5373134328358193E-2</v>
      </c>
      <c r="AB45" s="70">
        <f t="shared" si="18"/>
        <v>-2.8706467661691527E-2</v>
      </c>
      <c r="AC45" s="70">
        <f t="shared" si="19"/>
        <v>8.5744664025857065E-2</v>
      </c>
      <c r="AD45" s="71">
        <f t="shared" si="20"/>
        <v>-0.14520667179500263</v>
      </c>
      <c r="AE45" s="151">
        <f t="shared" si="21"/>
        <v>333.16937337688609</v>
      </c>
      <c r="AF45" s="71">
        <f t="shared" si="22"/>
        <v>8.483558506848057E-3</v>
      </c>
      <c r="AG45">
        <v>157.72999999999999</v>
      </c>
      <c r="AH45" s="70">
        <f t="shared" si="33"/>
        <v>-1.4310711161104939E-2</v>
      </c>
      <c r="AI45" s="70">
        <f t="shared" si="23"/>
        <v>-1.7644044494438273E-2</v>
      </c>
      <c r="AK45" s="204">
        <f t="shared" si="34"/>
        <v>-3.5334647597473096E-2</v>
      </c>
    </row>
    <row r="46" spans="2:37">
      <c r="B46" s="209">
        <v>44197</v>
      </c>
      <c r="C46">
        <v>314.39</v>
      </c>
      <c r="D46" s="70">
        <f t="shared" si="24"/>
        <v>2.583072900057326E-3</v>
      </c>
      <c r="E46" s="71">
        <f t="shared" si="25"/>
        <v>-7.5026043327600751E-4</v>
      </c>
      <c r="F46">
        <v>193.25</v>
      </c>
      <c r="G46" s="70">
        <f t="shared" si="26"/>
        <v>-0.11649065057376673</v>
      </c>
      <c r="H46" s="70">
        <f t="shared" si="8"/>
        <v>-0.11982398390710006</v>
      </c>
      <c r="I46" s="70">
        <f t="shared" si="9"/>
        <v>-4.3514024439964645E-4</v>
      </c>
      <c r="J46" s="71">
        <f t="shared" si="27"/>
        <v>-0.12157175112615248</v>
      </c>
      <c r="K46">
        <v>316.29000000000002</v>
      </c>
      <c r="L46" s="70">
        <f t="shared" si="28"/>
        <v>-0.11388468650193306</v>
      </c>
      <c r="M46" s="70">
        <f t="shared" si="10"/>
        <v>-0.11721801983526639</v>
      </c>
      <c r="N46" s="70">
        <f t="shared" si="11"/>
        <v>-4.7618544336942219E-4</v>
      </c>
      <c r="O46" s="71">
        <f t="shared" si="12"/>
        <v>-0.11892474185534903</v>
      </c>
      <c r="P46">
        <v>121.52</v>
      </c>
      <c r="Q46" s="70">
        <f t="shared" si="29"/>
        <v>0.11445341159207612</v>
      </c>
      <c r="R46" s="70">
        <f t="shared" si="13"/>
        <v>0.11112007825874279</v>
      </c>
      <c r="S46" s="70">
        <f t="shared" si="30"/>
        <v>-6.8974637260477686E-2</v>
      </c>
      <c r="T46" s="71">
        <f t="shared" si="14"/>
        <v>0.16997844077879723</v>
      </c>
      <c r="U46">
        <v>91.37</v>
      </c>
      <c r="V46" s="70">
        <f t="shared" si="31"/>
        <v>4.2679447677736126E-2</v>
      </c>
      <c r="W46" s="70">
        <f t="shared" si="15"/>
        <v>3.9346114344402792E-2</v>
      </c>
      <c r="X46" s="70">
        <f t="shared" si="16"/>
        <v>-6.8637675654015923E-4</v>
      </c>
      <c r="Y46" s="71">
        <f t="shared" si="17"/>
        <v>3.6205970201182235E-2</v>
      </c>
      <c r="Z46">
        <v>12.99</v>
      </c>
      <c r="AA46" s="70">
        <f t="shared" si="32"/>
        <v>-5.3598774885145195E-3</v>
      </c>
      <c r="AB46" s="70">
        <f t="shared" si="18"/>
        <v>-8.6932108218478535E-3</v>
      </c>
      <c r="AC46" s="70">
        <f t="shared" si="19"/>
        <v>-1.4681301336250095E-3</v>
      </c>
      <c r="AD46" s="71">
        <f t="shared" si="20"/>
        <v>-3.7980620795676878E-2</v>
      </c>
      <c r="AE46" s="151">
        <f t="shared" si="21"/>
        <v>334.82429283779192</v>
      </c>
      <c r="AF46" s="71">
        <f t="shared" si="22"/>
        <v>4.9672016492156319E-3</v>
      </c>
      <c r="AG46">
        <v>152</v>
      </c>
      <c r="AH46" s="70">
        <f t="shared" si="33"/>
        <v>-3.6327902111202626E-2</v>
      </c>
      <c r="AI46" s="70">
        <f t="shared" si="23"/>
        <v>-3.966123544453596E-2</v>
      </c>
      <c r="AK46" s="204">
        <f t="shared" si="34"/>
        <v>5.7174620824916398E-3</v>
      </c>
    </row>
    <row r="47" spans="2:37">
      <c r="B47" s="209">
        <v>44228</v>
      </c>
      <c r="C47">
        <v>313.98</v>
      </c>
      <c r="D47" s="70">
        <f t="shared" si="24"/>
        <v>-1.3041127262316543E-3</v>
      </c>
      <c r="E47" s="71">
        <f t="shared" si="25"/>
        <v>-4.6374460595649883E-3</v>
      </c>
      <c r="F47">
        <v>212.39</v>
      </c>
      <c r="G47" s="70">
        <f t="shared" si="26"/>
        <v>9.9042690815006384E-2</v>
      </c>
      <c r="H47" s="70">
        <f t="shared" si="8"/>
        <v>9.5709357481673057E-2</v>
      </c>
      <c r="I47" s="70">
        <f t="shared" si="9"/>
        <v>-2.6896519158526944E-3</v>
      </c>
      <c r="J47" s="71">
        <f t="shared" si="27"/>
        <v>9.6216101934073692E-2</v>
      </c>
      <c r="K47">
        <v>353.85</v>
      </c>
      <c r="L47" s="70">
        <f t="shared" si="28"/>
        <v>0.11875177843118667</v>
      </c>
      <c r="M47" s="70">
        <f t="shared" si="10"/>
        <v>0.11541844509785334</v>
      </c>
      <c r="N47" s="70">
        <f t="shared" si="11"/>
        <v>-2.9433570131551178E-3</v>
      </c>
      <c r="O47" s="71">
        <f t="shared" si="12"/>
        <v>0.1161788946475564</v>
      </c>
      <c r="P47">
        <v>125.94</v>
      </c>
      <c r="Q47" s="70">
        <f t="shared" si="29"/>
        <v>3.6372613561553635E-2</v>
      </c>
      <c r="R47" s="70">
        <f t="shared" si="13"/>
        <v>3.3039280228220301E-2</v>
      </c>
      <c r="S47" s="70">
        <f t="shared" si="30"/>
        <v>6.7382085431687042E-2</v>
      </c>
      <c r="T47" s="71">
        <f t="shared" si="14"/>
        <v>-4.4459079943889979E-2</v>
      </c>
      <c r="U47">
        <v>101.1</v>
      </c>
      <c r="V47" s="70">
        <f t="shared" si="31"/>
        <v>0.1064900952172485</v>
      </c>
      <c r="W47" s="70">
        <f t="shared" si="15"/>
        <v>0.10315676188391518</v>
      </c>
      <c r="X47" s="70">
        <f t="shared" si="16"/>
        <v>-4.2425737035011362E-3</v>
      </c>
      <c r="Y47" s="71">
        <f t="shared" si="17"/>
        <v>0.1035728146876556</v>
      </c>
      <c r="Z47">
        <v>13.71</v>
      </c>
      <c r="AA47" s="70">
        <f t="shared" si="32"/>
        <v>5.5427251732101723E-2</v>
      </c>
      <c r="AB47" s="70">
        <f t="shared" si="18"/>
        <v>5.2093918398768389E-2</v>
      </c>
      <c r="AC47" s="70">
        <f t="shared" si="19"/>
        <v>-9.074681272180642E-3</v>
      </c>
      <c r="AD47" s="71">
        <f t="shared" si="20"/>
        <v>3.0413059563494993E-2</v>
      </c>
      <c r="AE47" s="151">
        <f t="shared" si="21"/>
        <v>357.87779485962784</v>
      </c>
      <c r="AF47" s="71">
        <f t="shared" si="22"/>
        <v>6.8852537032025957E-2</v>
      </c>
      <c r="AG47">
        <v>143.12</v>
      </c>
      <c r="AH47" s="70">
        <f t="shared" si="33"/>
        <v>-5.8421052631578929E-2</v>
      </c>
      <c r="AI47" s="70">
        <f t="shared" si="23"/>
        <v>-6.1754385964912263E-2</v>
      </c>
      <c r="AK47" s="204">
        <f t="shared" si="34"/>
        <v>7.3489983091590938E-2</v>
      </c>
    </row>
    <row r="48" spans="2:37" s="61" customFormat="1" ht="18">
      <c r="B48" s="209">
        <v>44256</v>
      </c>
      <c r="C48">
        <v>318.95999999999998</v>
      </c>
      <c r="D48" s="70">
        <f t="shared" si="24"/>
        <v>1.5860882858780734E-2</v>
      </c>
      <c r="E48" s="71">
        <f t="shared" si="25"/>
        <v>1.25275495254474E-2</v>
      </c>
      <c r="F48">
        <v>211.73</v>
      </c>
      <c r="G48" s="70">
        <f t="shared" si="26"/>
        <v>-3.1074909364847692E-3</v>
      </c>
      <c r="H48" s="70">
        <f t="shared" si="8"/>
        <v>-6.4408242698181031E-3</v>
      </c>
      <c r="I48" s="70">
        <f t="shared" si="9"/>
        <v>7.2657982754455635E-3</v>
      </c>
      <c r="J48" s="71">
        <f t="shared" si="27"/>
        <v>-1.5889530008715739E-2</v>
      </c>
      <c r="K48">
        <v>356.05</v>
      </c>
      <c r="L48" s="70">
        <f t="shared" si="28"/>
        <v>6.217323724742041E-3</v>
      </c>
      <c r="M48" s="70">
        <f t="shared" si="10"/>
        <v>2.8839903914087074E-3</v>
      </c>
      <c r="N48" s="70">
        <f t="shared" si="11"/>
        <v>7.9511546398089022E-3</v>
      </c>
      <c r="O48" s="71">
        <f t="shared" si="12"/>
        <v>-7.2500717118522667E-3</v>
      </c>
      <c r="P48">
        <v>118.28</v>
      </c>
      <c r="Q48" s="70">
        <f t="shared" si="29"/>
        <v>-6.0822613943147474E-2</v>
      </c>
      <c r="R48" s="70">
        <f t="shared" si="13"/>
        <v>-6.4155947276480801E-2</v>
      </c>
      <c r="S48" s="70">
        <f t="shared" si="30"/>
        <v>-4.204937161400012E-3</v>
      </c>
      <c r="T48" s="71">
        <f t="shared" si="14"/>
        <v>-7.0067284855504036E-2</v>
      </c>
      <c r="U48">
        <v>103.13</v>
      </c>
      <c r="V48" s="70">
        <f t="shared" si="31"/>
        <v>2.00791295746785E-2</v>
      </c>
      <c r="W48" s="70">
        <f t="shared" si="15"/>
        <v>1.6745796241345166E-2</v>
      </c>
      <c r="X48" s="70">
        <f t="shared" si="16"/>
        <v>1.1460845366890775E-2</v>
      </c>
      <c r="Y48" s="71">
        <f t="shared" si="17"/>
        <v>1.4584299746936771E-3</v>
      </c>
      <c r="Z48">
        <v>13.35</v>
      </c>
      <c r="AA48" s="70">
        <f t="shared" si="32"/>
        <v>-2.6258205689277947E-2</v>
      </c>
      <c r="AB48" s="70">
        <f t="shared" si="18"/>
        <v>-2.9591539022611281E-2</v>
      </c>
      <c r="AC48" s="70">
        <f t="shared" si="19"/>
        <v>2.4514251509279439E-2</v>
      </c>
      <c r="AD48" s="71">
        <f t="shared" si="20"/>
        <v>-8.4861330639344756E-2</v>
      </c>
      <c r="AE48" s="151">
        <f t="shared" si="21"/>
        <v>350.86635444365174</v>
      </c>
      <c r="AF48" s="71">
        <f t="shared" si="22"/>
        <v>-1.9591716828159762E-2</v>
      </c>
      <c r="AG48">
        <v>135.44999999999999</v>
      </c>
      <c r="AH48" s="70">
        <f t="shared" si="33"/>
        <v>-5.3591391839016289E-2</v>
      </c>
      <c r="AI48" s="70">
        <f t="shared" si="23"/>
        <v>-5.6924725172349623E-2</v>
      </c>
      <c r="AK48" s="204">
        <f t="shared" si="34"/>
        <v>-3.2119266353607165E-2</v>
      </c>
    </row>
    <row r="49" spans="2:37">
      <c r="B49" s="209">
        <v>44287</v>
      </c>
      <c r="C49">
        <v>337.81</v>
      </c>
      <c r="D49" s="70">
        <f t="shared" si="24"/>
        <v>5.9098319538500199E-2</v>
      </c>
      <c r="E49" s="71">
        <f t="shared" si="25"/>
        <v>5.5764986205166865E-2</v>
      </c>
      <c r="F49">
        <v>233.56</v>
      </c>
      <c r="G49" s="70">
        <f t="shared" si="26"/>
        <v>0.10310300854862331</v>
      </c>
      <c r="H49" s="70">
        <f t="shared" si="8"/>
        <v>9.9769675215289982E-2</v>
      </c>
      <c r="I49" s="70">
        <f t="shared" si="9"/>
        <v>3.2342888749049017E-2</v>
      </c>
      <c r="J49" s="71">
        <f t="shared" si="27"/>
        <v>6.5243879002788899E-2</v>
      </c>
      <c r="K49">
        <v>382.06</v>
      </c>
      <c r="L49" s="70">
        <f t="shared" si="28"/>
        <v>7.3051537705378422E-2</v>
      </c>
      <c r="M49" s="70">
        <f t="shared" si="10"/>
        <v>6.9718204372045095E-2</v>
      </c>
      <c r="N49" s="70">
        <f t="shared" si="11"/>
        <v>3.5393675986146768E-2</v>
      </c>
      <c r="O49" s="71">
        <f t="shared" si="12"/>
        <v>3.2141620922446261E-2</v>
      </c>
      <c r="P49">
        <v>116.74</v>
      </c>
      <c r="Q49" s="70">
        <f t="shared" si="29"/>
        <v>-1.301995265471767E-2</v>
      </c>
      <c r="R49" s="70">
        <f t="shared" si="13"/>
        <v>-1.6353285988051004E-2</v>
      </c>
      <c r="S49" s="70">
        <f t="shared" si="30"/>
        <v>1.8641677160721085E-2</v>
      </c>
      <c r="T49" s="71">
        <f t="shared" si="14"/>
        <v>-4.5111237889195327E-2</v>
      </c>
      <c r="U49">
        <v>117.68</v>
      </c>
      <c r="V49" s="70">
        <f t="shared" si="31"/>
        <v>0.14108406865121692</v>
      </c>
      <c r="W49" s="70">
        <f t="shared" si="15"/>
        <v>0.13775073531788359</v>
      </c>
      <c r="X49" s="70">
        <f t="shared" si="16"/>
        <v>5.1016671894688823E-2</v>
      </c>
      <c r="Y49" s="71">
        <f t="shared" si="17"/>
        <v>8.2907542523434061E-2</v>
      </c>
      <c r="Z49">
        <v>15.01</v>
      </c>
      <c r="AA49" s="70">
        <f t="shared" si="32"/>
        <v>0.12434456928838955</v>
      </c>
      <c r="AB49" s="70">
        <f t="shared" si="18"/>
        <v>0.12101123595505622</v>
      </c>
      <c r="AC49" s="70">
        <f t="shared" si="19"/>
        <v>0.10912245004245055</v>
      </c>
      <c r="AD49" s="71">
        <f t="shared" si="20"/>
        <v>-1.8866754194848373E-2</v>
      </c>
      <c r="AE49" s="151">
        <f t="shared" si="21"/>
        <v>386.24526773128099</v>
      </c>
      <c r="AF49" s="71">
        <f t="shared" si="22"/>
        <v>0.10083301758507884</v>
      </c>
      <c r="AG49">
        <v>138.63999999999999</v>
      </c>
      <c r="AH49" s="70">
        <f t="shared" si="33"/>
        <v>2.3551125876707157E-2</v>
      </c>
      <c r="AI49" s="70">
        <f t="shared" si="23"/>
        <v>2.0217792543373823E-2</v>
      </c>
      <c r="AK49" s="204">
        <f t="shared" si="34"/>
        <v>4.5068031379911978E-2</v>
      </c>
    </row>
    <row r="50" spans="2:37">
      <c r="B50" s="209">
        <v>44317</v>
      </c>
      <c r="C50">
        <v>333.76</v>
      </c>
      <c r="D50" s="70">
        <f t="shared" si="24"/>
        <v>-1.1988987892602387E-2</v>
      </c>
      <c r="E50" s="71">
        <f t="shared" si="25"/>
        <v>-1.5322321225935721E-2</v>
      </c>
      <c r="F50">
        <v>227.3</v>
      </c>
      <c r="G50" s="70">
        <f t="shared" si="26"/>
        <v>-2.6802534680595902E-2</v>
      </c>
      <c r="H50" s="70">
        <f t="shared" si="8"/>
        <v>-3.0135868013929236E-2</v>
      </c>
      <c r="I50" s="70">
        <f t="shared" si="9"/>
        <v>-8.8867256052815955E-3</v>
      </c>
      <c r="J50" s="71">
        <f t="shared" si="27"/>
        <v>-2.3432049872099715E-2</v>
      </c>
      <c r="K50">
        <v>360.58</v>
      </c>
      <c r="L50" s="70">
        <f t="shared" si="28"/>
        <v>-5.6221535884416141E-2</v>
      </c>
      <c r="M50" s="70">
        <f t="shared" si="10"/>
        <v>-5.9554869217749475E-2</v>
      </c>
      <c r="N50" s="70">
        <f t="shared" si="11"/>
        <v>-9.7249781580001603E-3</v>
      </c>
      <c r="O50" s="71">
        <f t="shared" si="12"/>
        <v>-5.2012798523201384E-2</v>
      </c>
      <c r="P50">
        <v>117.36</v>
      </c>
      <c r="Q50" s="70">
        <f t="shared" si="29"/>
        <v>5.3109474044885641E-3</v>
      </c>
      <c r="R50" s="70">
        <f t="shared" si="13"/>
        <v>1.9776140711552305E-3</v>
      </c>
      <c r="S50" s="70">
        <f t="shared" si="30"/>
        <v>-3.0166673940766366E-2</v>
      </c>
      <c r="T50" s="71">
        <f t="shared" si="14"/>
        <v>2.2028013271498358E-2</v>
      </c>
      <c r="U50">
        <v>117.84</v>
      </c>
      <c r="V50" s="70">
        <f t="shared" si="31"/>
        <v>1.3596193065941176E-3</v>
      </c>
      <c r="W50" s="70">
        <f t="shared" si="15"/>
        <v>-1.973714026739216E-3</v>
      </c>
      <c r="X50" s="70">
        <f t="shared" si="16"/>
        <v>-1.4017645979013291E-2</v>
      </c>
      <c r="Y50" s="71">
        <f t="shared" si="17"/>
        <v>8.2174110525133608E-3</v>
      </c>
      <c r="Z50">
        <v>16.239999999999998</v>
      </c>
      <c r="AA50" s="70">
        <f t="shared" si="32"/>
        <v>8.1945369753497532E-2</v>
      </c>
      <c r="AB50" s="70">
        <f t="shared" si="18"/>
        <v>7.8612036420164205E-2</v>
      </c>
      <c r="AC50" s="70">
        <f t="shared" si="19"/>
        <v>-2.9983137202975432E-2</v>
      </c>
      <c r="AD50" s="71">
        <f t="shared" si="20"/>
        <v>7.7839633515685597E-2</v>
      </c>
      <c r="AE50" s="151">
        <f t="shared" si="21"/>
        <v>398.49366381924125</v>
      </c>
      <c r="AF50" s="71">
        <f t="shared" si="22"/>
        <v>3.1711446356105913E-2</v>
      </c>
      <c r="AG50">
        <v>138.44</v>
      </c>
      <c r="AH50" s="70">
        <f t="shared" si="33"/>
        <v>-1.4425851125215994E-3</v>
      </c>
      <c r="AI50" s="70">
        <f t="shared" si="23"/>
        <v>-4.7759184458549334E-3</v>
      </c>
      <c r="AK50" s="204">
        <f t="shared" si="34"/>
        <v>4.7033767582041634E-2</v>
      </c>
    </row>
    <row r="51" spans="2:37">
      <c r="B51" s="209">
        <v>44348</v>
      </c>
      <c r="C51">
        <v>354.24</v>
      </c>
      <c r="D51" s="70">
        <f t="shared" si="24"/>
        <v>6.1361457334611735E-2</v>
      </c>
      <c r="E51" s="71">
        <f t="shared" si="25"/>
        <v>5.8028124001278401E-2</v>
      </c>
      <c r="F51">
        <v>233.82</v>
      </c>
      <c r="G51" s="70">
        <f t="shared" si="26"/>
        <v>2.8684557853057457E-2</v>
      </c>
      <c r="H51" s="70">
        <f t="shared" si="8"/>
        <v>2.5351224519724123E-2</v>
      </c>
      <c r="I51" s="70">
        <f t="shared" si="9"/>
        <v>3.3655476072106963E-2</v>
      </c>
      <c r="J51" s="71">
        <f t="shared" si="27"/>
        <v>-1.0487159015834913E-2</v>
      </c>
      <c r="K51">
        <v>365.09</v>
      </c>
      <c r="L51" s="70">
        <f t="shared" si="28"/>
        <v>1.2507626601586219E-2</v>
      </c>
      <c r="M51" s="70">
        <f t="shared" si="10"/>
        <v>9.1742932682528852E-3</v>
      </c>
      <c r="N51" s="70">
        <f t="shared" si="11"/>
        <v>3.6830074904508778E-2</v>
      </c>
      <c r="O51" s="71">
        <f t="shared" si="12"/>
        <v>-2.9838689099707966E-2</v>
      </c>
      <c r="P51">
        <v>120.16</v>
      </c>
      <c r="Q51" s="70">
        <f t="shared" si="29"/>
        <v>2.3858214042263182E-2</v>
      </c>
      <c r="R51" s="70">
        <f t="shared" si="13"/>
        <v>2.0524880708929848E-2</v>
      </c>
      <c r="S51" s="70">
        <f t="shared" si="30"/>
        <v>-1.7306009875420688E-2</v>
      </c>
      <c r="T51" s="71">
        <f t="shared" si="14"/>
        <v>2.7714615843927294E-2</v>
      </c>
      <c r="U51">
        <v>122.09</v>
      </c>
      <c r="V51" s="70">
        <f t="shared" si="31"/>
        <v>3.6065852002715504E-2</v>
      </c>
      <c r="W51" s="70">
        <f t="shared" si="15"/>
        <v>3.273251866938217E-2</v>
      </c>
      <c r="X51" s="70">
        <f t="shared" si="16"/>
        <v>5.308710652139001E-2</v>
      </c>
      <c r="Y51" s="71">
        <f t="shared" si="17"/>
        <v>-2.4181108751768553E-2</v>
      </c>
      <c r="Z51">
        <v>20</v>
      </c>
      <c r="AA51" s="70">
        <f t="shared" si="32"/>
        <v>0.23152709359605916</v>
      </c>
      <c r="AB51" s="70">
        <f t="shared" si="18"/>
        <v>0.22819376026272584</v>
      </c>
      <c r="AC51" s="70">
        <f t="shared" si="19"/>
        <v>0.11355101997317316</v>
      </c>
      <c r="AD51" s="71">
        <f t="shared" si="20"/>
        <v>8.3887200182098637E-2</v>
      </c>
      <c r="AE51" s="151">
        <f t="shared" si="21"/>
        <v>447.51411496713297</v>
      </c>
      <c r="AF51" s="71">
        <f t="shared" si="22"/>
        <v>0.12301438039960311</v>
      </c>
      <c r="AG51">
        <v>144.35</v>
      </c>
      <c r="AH51" s="70">
        <f t="shared" si="33"/>
        <v>4.2689973995954977E-2</v>
      </c>
      <c r="AI51" s="70">
        <f t="shared" si="23"/>
        <v>3.9356640662621643E-2</v>
      </c>
      <c r="AK51" s="204">
        <f t="shared" si="34"/>
        <v>6.4986256398324699E-2</v>
      </c>
    </row>
    <row r="52" spans="2:37">
      <c r="B52" s="209">
        <v>44378</v>
      </c>
      <c r="C52">
        <v>364.38</v>
      </c>
      <c r="D52" s="70">
        <f t="shared" si="24"/>
        <v>2.8624661246612337E-2</v>
      </c>
      <c r="E52" s="71">
        <f t="shared" si="25"/>
        <v>2.5291327913279003E-2</v>
      </c>
      <c r="F52">
        <v>246.39</v>
      </c>
      <c r="G52" s="70">
        <f t="shared" si="26"/>
        <v>5.3759302027200473E-2</v>
      </c>
      <c r="H52" s="70">
        <f t="shared" si="8"/>
        <v>5.0425968693867139E-2</v>
      </c>
      <c r="I52" s="70">
        <f t="shared" si="9"/>
        <v>1.4668605888386466E-2</v>
      </c>
      <c r="J52" s="71">
        <f t="shared" si="27"/>
        <v>3.3574455342028603E-2</v>
      </c>
      <c r="K52">
        <v>385.94</v>
      </c>
      <c r="L52" s="70">
        <f t="shared" si="28"/>
        <v>5.7109205949217978E-2</v>
      </c>
      <c r="M52" s="70">
        <f t="shared" si="10"/>
        <v>5.3775872615884644E-2</v>
      </c>
      <c r="N52" s="70">
        <f t="shared" si="11"/>
        <v>1.60522422103468E-2</v>
      </c>
      <c r="O52" s="71">
        <f t="shared" si="12"/>
        <v>3.5540722942085767E-2</v>
      </c>
      <c r="P52">
        <v>116.64</v>
      </c>
      <c r="Q52" s="70">
        <f t="shared" si="29"/>
        <v>-2.9294274300932011E-2</v>
      </c>
      <c r="R52" s="70">
        <f t="shared" si="13"/>
        <v>-3.2627607634265345E-2</v>
      </c>
      <c r="S52" s="70">
        <f t="shared" si="30"/>
        <v>2.0613107370770743E-2</v>
      </c>
      <c r="T52" s="71">
        <f t="shared" si="14"/>
        <v>-6.3356989745459322E-2</v>
      </c>
      <c r="U52">
        <v>134.72999999999999</v>
      </c>
      <c r="V52" s="70">
        <f t="shared" si="31"/>
        <v>0.10353018265214176</v>
      </c>
      <c r="W52" s="70">
        <f t="shared" si="15"/>
        <v>0.10019684931880843</v>
      </c>
      <c r="X52" s="70">
        <f t="shared" si="16"/>
        <v>2.3137805023130984E-2</v>
      </c>
      <c r="Y52" s="71">
        <f t="shared" si="17"/>
        <v>7.3232523395916738E-2</v>
      </c>
      <c r="Z52">
        <v>19.5</v>
      </c>
      <c r="AA52" s="70">
        <f t="shared" si="32"/>
        <v>-2.5000000000000022E-2</v>
      </c>
      <c r="AB52" s="70">
        <f t="shared" si="18"/>
        <v>-2.8333333333333356E-2</v>
      </c>
      <c r="AC52" s="70">
        <f t="shared" si="19"/>
        <v>4.9490762116754745E-2</v>
      </c>
      <c r="AD52" s="71">
        <f t="shared" si="20"/>
        <v>-0.10857963555754213</v>
      </c>
      <c r="AE52" s="151">
        <f t="shared" si="21"/>
        <v>453.32462726667671</v>
      </c>
      <c r="AF52" s="71">
        <f t="shared" si="22"/>
        <v>1.29839754886179E-2</v>
      </c>
      <c r="AG52">
        <v>149.52000000000001</v>
      </c>
      <c r="AH52" s="70">
        <f t="shared" si="33"/>
        <v>3.581572566678215E-2</v>
      </c>
      <c r="AI52" s="70">
        <f t="shared" si="23"/>
        <v>3.2482392333448816E-2</v>
      </c>
      <c r="AK52" s="204">
        <f t="shared" si="34"/>
        <v>-1.2307352424661104E-2</v>
      </c>
    </row>
    <row r="53" spans="2:37">
      <c r="B53" s="209">
        <v>44409</v>
      </c>
      <c r="C53">
        <v>379.75</v>
      </c>
      <c r="D53" s="70">
        <f t="shared" si="24"/>
        <v>4.2181239365497669E-2</v>
      </c>
      <c r="E53" s="71">
        <f t="shared" si="25"/>
        <v>3.8847906032164335E-2</v>
      </c>
      <c r="F53">
        <v>229.1</v>
      </c>
      <c r="G53" s="70">
        <f t="shared" si="26"/>
        <v>-7.0173302487925637E-2</v>
      </c>
      <c r="H53" s="70">
        <f t="shared" si="8"/>
        <v>-7.3506635821258964E-2</v>
      </c>
      <c r="I53" s="70">
        <f t="shared" si="9"/>
        <v>2.2531225925693593E-2</v>
      </c>
      <c r="J53" s="71">
        <f t="shared" si="27"/>
        <v>-9.8220769210404624E-2</v>
      </c>
      <c r="K53">
        <v>346.23</v>
      </c>
      <c r="L53" s="70">
        <f t="shared" si="28"/>
        <v>-0.10289164118774929</v>
      </c>
      <c r="M53" s="70">
        <f t="shared" si="10"/>
        <v>-0.10622497452108262</v>
      </c>
      <c r="N53" s="70">
        <f t="shared" si="11"/>
        <v>2.4656514641355799E-2</v>
      </c>
      <c r="O53" s="71">
        <f t="shared" si="12"/>
        <v>-0.13306439662589048</v>
      </c>
      <c r="P53">
        <v>119.01</v>
      </c>
      <c r="Q53" s="70">
        <f t="shared" si="29"/>
        <v>2.0318930041152372E-2</v>
      </c>
      <c r="R53" s="70">
        <f t="shared" si="13"/>
        <v>1.6985596707819038E-2</v>
      </c>
      <c r="S53" s="70">
        <f t="shared" si="30"/>
        <v>-7.7175433356993353E-2</v>
      </c>
      <c r="T53" s="71">
        <f t="shared" si="14"/>
        <v>8.4044755324389153E-2</v>
      </c>
      <c r="U53">
        <v>144.69999999999999</v>
      </c>
      <c r="V53" s="70">
        <f t="shared" si="31"/>
        <v>7.3999851554961804E-2</v>
      </c>
      <c r="W53" s="70">
        <f t="shared" si="15"/>
        <v>7.0666518221628477E-2</v>
      </c>
      <c r="X53" s="70">
        <f t="shared" si="16"/>
        <v>3.5540058569134912E-2</v>
      </c>
      <c r="Y53" s="71">
        <f t="shared" si="17"/>
        <v>3.1299938752732855E-2</v>
      </c>
      <c r="Z53">
        <v>22.39</v>
      </c>
      <c r="AA53" s="70">
        <f t="shared" si="32"/>
        <v>0.14820512820512821</v>
      </c>
      <c r="AB53" s="70">
        <f t="shared" si="18"/>
        <v>0.14487179487179488</v>
      </c>
      <c r="AC53" s="70">
        <f t="shared" si="19"/>
        <v>7.601864491909241E-2</v>
      </c>
      <c r="AD53" s="71">
        <f t="shared" si="20"/>
        <v>3.8097609845248431E-2</v>
      </c>
      <c r="AE53" s="151">
        <f t="shared" si="21"/>
        <v>488.29903391443253</v>
      </c>
      <c r="AF53" s="71">
        <f t="shared" si="22"/>
        <v>7.7150908078023966E-2</v>
      </c>
      <c r="AG53">
        <v>148.83000000000001</v>
      </c>
      <c r="AH53" s="70">
        <f t="shared" si="33"/>
        <v>-4.6147672552167007E-3</v>
      </c>
      <c r="AI53" s="70">
        <f t="shared" si="23"/>
        <v>-7.9481005885500347E-3</v>
      </c>
      <c r="AK53" s="204">
        <f t="shared" si="34"/>
        <v>3.8303002045859631E-2</v>
      </c>
    </row>
    <row r="54" spans="2:37">
      <c r="B54" s="209">
        <v>44440</v>
      </c>
      <c r="C54">
        <v>357.77</v>
      </c>
      <c r="D54" s="70">
        <f t="shared" si="24"/>
        <v>-5.7880184331797313E-2</v>
      </c>
      <c r="E54" s="71">
        <f t="shared" si="25"/>
        <v>-6.1213517665130647E-2</v>
      </c>
      <c r="F54">
        <v>222.75</v>
      </c>
      <c r="G54" s="70">
        <f t="shared" si="26"/>
        <v>-2.7717154081187245E-2</v>
      </c>
      <c r="H54" s="70">
        <f t="shared" si="8"/>
        <v>-3.1050487414520579E-2</v>
      </c>
      <c r="I54" s="70">
        <f t="shared" si="9"/>
        <v>-3.5502958514097654E-2</v>
      </c>
      <c r="J54" s="71">
        <f t="shared" si="27"/>
        <v>2.2695636361250021E-3</v>
      </c>
      <c r="K54">
        <v>347.68</v>
      </c>
      <c r="L54" s="70">
        <f t="shared" si="28"/>
        <v>4.187967536031012E-3</v>
      </c>
      <c r="M54" s="70">
        <f t="shared" si="10"/>
        <v>8.5463420269767847E-4</v>
      </c>
      <c r="N54" s="70">
        <f t="shared" si="11"/>
        <v>-3.8851823655811531E-2</v>
      </c>
      <c r="O54" s="71">
        <f t="shared" si="12"/>
        <v>3.7523550395057136E-2</v>
      </c>
      <c r="P54">
        <v>111.65</v>
      </c>
      <c r="Q54" s="70">
        <f t="shared" si="29"/>
        <v>-6.1843542559448794E-2</v>
      </c>
      <c r="R54" s="70">
        <f t="shared" si="13"/>
        <v>-6.5176875892782121E-2</v>
      </c>
      <c r="S54" s="70">
        <f t="shared" si="30"/>
        <v>2.1763118732453304E-2</v>
      </c>
      <c r="T54" s="71">
        <f t="shared" si="14"/>
        <v>-9.7056269365658671E-2</v>
      </c>
      <c r="U54">
        <v>133.68</v>
      </c>
      <c r="V54" s="70">
        <f t="shared" si="31"/>
        <v>-7.6157567380787716E-2</v>
      </c>
      <c r="W54" s="70">
        <f t="shared" si="15"/>
        <v>-7.9490900714121043E-2</v>
      </c>
      <c r="X54" s="70">
        <f t="shared" si="16"/>
        <v>-5.6001268156905912E-2</v>
      </c>
      <c r="Y54" s="71">
        <f t="shared" si="17"/>
        <v>-2.7316153456975842E-2</v>
      </c>
      <c r="Z54">
        <v>20.72</v>
      </c>
      <c r="AA54" s="70">
        <f t="shared" si="32"/>
        <v>-7.4586869138008161E-2</v>
      </c>
      <c r="AB54" s="70">
        <f t="shared" si="18"/>
        <v>-7.7920202471341488E-2</v>
      </c>
      <c r="AC54" s="70">
        <f t="shared" si="19"/>
        <v>-0.11978428540733638</v>
      </c>
      <c r="AD54" s="71">
        <f t="shared" si="20"/>
        <v>1.1108542828540846E-2</v>
      </c>
      <c r="AE54" s="151">
        <f t="shared" si="21"/>
        <v>455.01487280519018</v>
      </c>
      <c r="AF54" s="71">
        <f t="shared" si="22"/>
        <v>-6.8163479338513216E-2</v>
      </c>
      <c r="AG54">
        <v>144.32</v>
      </c>
      <c r="AH54" s="70">
        <f t="shared" si="33"/>
        <v>-3.0303030303030387E-2</v>
      </c>
      <c r="AI54" s="70">
        <f t="shared" si="23"/>
        <v>-3.3636363636363721E-2</v>
      </c>
      <c r="AK54" s="204">
        <f t="shared" si="34"/>
        <v>-6.9499616733825695E-3</v>
      </c>
    </row>
    <row r="55" spans="2:37">
      <c r="B55" s="209">
        <v>44470</v>
      </c>
      <c r="C55">
        <v>385.91</v>
      </c>
      <c r="D55" s="70">
        <f t="shared" si="24"/>
        <v>7.8653883780082312E-2</v>
      </c>
      <c r="E55" s="71">
        <f t="shared" si="25"/>
        <v>7.5320550446748985E-2</v>
      </c>
      <c r="F55">
        <v>211.77</v>
      </c>
      <c r="G55" s="70">
        <f t="shared" si="26"/>
        <v>-4.9292929292929277E-2</v>
      </c>
      <c r="H55" s="70">
        <f t="shared" si="8"/>
        <v>-5.2626262626262611E-2</v>
      </c>
      <c r="I55" s="70">
        <f t="shared" si="9"/>
        <v>4.3684834326931522E-2</v>
      </c>
      <c r="J55" s="71">
        <f t="shared" si="27"/>
        <v>-9.8494004416646214E-2</v>
      </c>
      <c r="K55">
        <v>335.52</v>
      </c>
      <c r="L55" s="70">
        <f t="shared" si="28"/>
        <v>-3.4974689369535295E-2</v>
      </c>
      <c r="M55" s="70">
        <f t="shared" si="10"/>
        <v>-3.8308022702868628E-2</v>
      </c>
      <c r="N55" s="70">
        <f t="shared" si="11"/>
        <v>4.7805466100222065E-2</v>
      </c>
      <c r="O55" s="71">
        <f t="shared" si="12"/>
        <v>-8.8296396266542759E-2</v>
      </c>
      <c r="P55">
        <v>113.7</v>
      </c>
      <c r="Q55" s="70">
        <f t="shared" si="29"/>
        <v>1.8360949395432202E-2</v>
      </c>
      <c r="R55" s="70">
        <f t="shared" si="13"/>
        <v>1.5027616062098868E-2</v>
      </c>
      <c r="S55" s="70">
        <f t="shared" si="30"/>
        <v>-5.1210637995749035E-2</v>
      </c>
      <c r="T55" s="71">
        <f t="shared" si="14"/>
        <v>5.6121979317424665E-2</v>
      </c>
      <c r="U55">
        <v>148.05000000000001</v>
      </c>
      <c r="V55" s="70">
        <f t="shared" si="31"/>
        <v>0.10749551166965898</v>
      </c>
      <c r="W55" s="70">
        <f t="shared" si="15"/>
        <v>0.10416217833632566</v>
      </c>
      <c r="X55" s="70">
        <f t="shared" si="16"/>
        <v>6.8907105884177852E-2</v>
      </c>
      <c r="Y55" s="71">
        <f t="shared" si="17"/>
        <v>3.1428551552387093E-2</v>
      </c>
      <c r="Z55">
        <v>25.57</v>
      </c>
      <c r="AA55" s="70">
        <f t="shared" si="32"/>
        <v>0.23407335907335924</v>
      </c>
      <c r="AB55" s="70">
        <f t="shared" si="18"/>
        <v>0.23074002574002592</v>
      </c>
      <c r="AC55" s="70">
        <f t="shared" si="19"/>
        <v>0.14738931294730065</v>
      </c>
      <c r="AD55" s="71">
        <f t="shared" si="20"/>
        <v>5.2595172685271224E-2</v>
      </c>
      <c r="AE55" s="151">
        <f t="shared" si="21"/>
        <v>515.07178972571717</v>
      </c>
      <c r="AF55" s="71">
        <f t="shared" si="22"/>
        <v>0.13198890961579557</v>
      </c>
      <c r="AG55">
        <v>147.69</v>
      </c>
      <c r="AH55" s="70">
        <f t="shared" si="33"/>
        <v>2.3350886917960167E-2</v>
      </c>
      <c r="AI55" s="70">
        <f t="shared" si="23"/>
        <v>2.0017553584626833E-2</v>
      </c>
      <c r="AK55" s="204">
        <f t="shared" si="34"/>
        <v>5.6668359169046584E-2</v>
      </c>
    </row>
    <row r="56" spans="2:37">
      <c r="B56" s="209">
        <v>44501</v>
      </c>
      <c r="C56">
        <v>393.61</v>
      </c>
      <c r="D56" s="70">
        <f t="shared" si="24"/>
        <v>1.9952838744784929E-2</v>
      </c>
      <c r="E56" s="71">
        <f t="shared" si="25"/>
        <v>1.6619505411451595E-2</v>
      </c>
      <c r="F56">
        <v>193.77</v>
      </c>
      <c r="G56" s="70">
        <f t="shared" si="26"/>
        <v>-8.4997875053123617E-2</v>
      </c>
      <c r="H56" s="70">
        <f t="shared" si="8"/>
        <v>-8.8331208386456944E-2</v>
      </c>
      <c r="I56" s="70">
        <f t="shared" si="9"/>
        <v>9.6390737479819053E-3</v>
      </c>
      <c r="J56" s="71">
        <f t="shared" si="27"/>
        <v>-0.10015318959789092</v>
      </c>
      <c r="K56">
        <v>314.92</v>
      </c>
      <c r="L56" s="70">
        <f t="shared" si="28"/>
        <v>-6.1397234144015211E-2</v>
      </c>
      <c r="M56" s="70">
        <f t="shared" si="10"/>
        <v>-6.4730567477348538E-2</v>
      </c>
      <c r="N56" s="70">
        <f t="shared" si="11"/>
        <v>1.0548292568723508E-2</v>
      </c>
      <c r="O56" s="71">
        <f t="shared" si="12"/>
        <v>-7.7461767509524118E-2</v>
      </c>
      <c r="P56">
        <v>117.15</v>
      </c>
      <c r="Q56" s="70">
        <f t="shared" si="29"/>
        <v>3.0343007915567322E-2</v>
      </c>
      <c r="R56" s="70">
        <f t="shared" si="13"/>
        <v>2.7009674582233988E-2</v>
      </c>
      <c r="S56" s="70">
        <f t="shared" si="30"/>
        <v>-4.4926709380824839E-2</v>
      </c>
      <c r="T56" s="71">
        <f t="shared" si="14"/>
        <v>6.1820109222635589E-2</v>
      </c>
      <c r="U56">
        <v>141.9</v>
      </c>
      <c r="V56" s="70">
        <f t="shared" si="31"/>
        <v>-4.1540020263424515E-2</v>
      </c>
      <c r="W56" s="70">
        <f t="shared" si="15"/>
        <v>-4.4873353596757849E-2</v>
      </c>
      <c r="X56" s="70">
        <f t="shared" si="16"/>
        <v>1.5204376658654538E-2</v>
      </c>
      <c r="Y56" s="71">
        <f t="shared" si="17"/>
        <v>-6.3904251155173106E-2</v>
      </c>
      <c r="Z56">
        <v>32.68</v>
      </c>
      <c r="AA56" s="70">
        <f t="shared" si="32"/>
        <v>0.27806022682831433</v>
      </c>
      <c r="AB56" s="70">
        <f t="shared" si="18"/>
        <v>0.27472689349498097</v>
      </c>
      <c r="AC56" s="70">
        <f t="shared" si="19"/>
        <v>3.2521502692012302E-2</v>
      </c>
      <c r="AD56" s="71">
        <f t="shared" si="20"/>
        <v>0.21144985069551464</v>
      </c>
      <c r="AE56" s="151">
        <f t="shared" si="21"/>
        <v>574.09538398530924</v>
      </c>
      <c r="AF56" s="71">
        <f t="shared" si="22"/>
        <v>0.11459294691915262</v>
      </c>
      <c r="AG56">
        <v>151.59</v>
      </c>
      <c r="AH56" s="70">
        <f t="shared" si="33"/>
        <v>2.6406662604103293E-2</v>
      </c>
      <c r="AI56" s="70">
        <f t="shared" si="23"/>
        <v>2.3073329270769959E-2</v>
      </c>
      <c r="AK56" s="204">
        <f t="shared" si="34"/>
        <v>9.7973441507701015E-2</v>
      </c>
    </row>
    <row r="57" spans="2:37">
      <c r="B57" s="209">
        <v>44531</v>
      </c>
      <c r="C57">
        <v>397.64</v>
      </c>
      <c r="D57" s="70">
        <f t="shared" si="24"/>
        <v>1.0238561012169356E-2</v>
      </c>
      <c r="E57" s="71">
        <f t="shared" si="25"/>
        <v>6.905227678836022E-3</v>
      </c>
      <c r="F57">
        <v>216.71</v>
      </c>
      <c r="G57" s="70">
        <f t="shared" si="26"/>
        <v>0.11838777932600508</v>
      </c>
      <c r="H57" s="70">
        <f t="shared" si="8"/>
        <v>0.11505444599267176</v>
      </c>
      <c r="I57" s="70">
        <f t="shared" si="9"/>
        <v>4.0049325894525997E-3</v>
      </c>
      <c r="J57" s="71">
        <f t="shared" si="27"/>
        <v>0.10886660593976709</v>
      </c>
      <c r="K57">
        <v>359.32</v>
      </c>
      <c r="L57" s="70">
        <f t="shared" si="28"/>
        <v>0.14098818747618425</v>
      </c>
      <c r="M57" s="70">
        <f t="shared" si="10"/>
        <v>0.13765485414285092</v>
      </c>
      <c r="N57" s="70">
        <f t="shared" si="11"/>
        <v>4.3827033360343531E-3</v>
      </c>
      <c r="O57" s="71">
        <f t="shared" si="12"/>
        <v>0.1310892433433645</v>
      </c>
      <c r="P57">
        <v>120.31</v>
      </c>
      <c r="Q57" s="70">
        <f t="shared" si="29"/>
        <v>2.6973965002133893E-2</v>
      </c>
      <c r="R57" s="70">
        <f t="shared" si="13"/>
        <v>2.3640631668800559E-2</v>
      </c>
      <c r="S57" s="70">
        <f t="shared" si="30"/>
        <v>7.6029872903628837E-2</v>
      </c>
      <c r="T57" s="71">
        <f t="shared" si="14"/>
        <v>-6.2505515975251516E-2</v>
      </c>
      <c r="U57">
        <v>144.85</v>
      </c>
      <c r="V57" s="70">
        <f t="shared" si="31"/>
        <v>2.0789288231148673E-2</v>
      </c>
      <c r="W57" s="70">
        <f t="shared" si="15"/>
        <v>1.7455954897815339E-2</v>
      </c>
      <c r="X57" s="70">
        <f t="shared" si="16"/>
        <v>6.3172567380041893E-3</v>
      </c>
      <c r="Y57" s="71">
        <f t="shared" si="17"/>
        <v>7.3121772600504356E-3</v>
      </c>
      <c r="Z57">
        <v>29.41</v>
      </c>
      <c r="AA57" s="70">
        <f t="shared" si="32"/>
        <v>-0.10006119951040393</v>
      </c>
      <c r="AB57" s="70">
        <f t="shared" si="18"/>
        <v>-0.10339453284373726</v>
      </c>
      <c r="AC57" s="70">
        <f t="shared" si="19"/>
        <v>1.3512338363058972E-2</v>
      </c>
      <c r="AD57" s="71">
        <f t="shared" si="20"/>
        <v>-0.14766241131425029</v>
      </c>
      <c r="AE57" s="151">
        <f t="shared" si="21"/>
        <v>559.6579866860975</v>
      </c>
      <c r="AF57" s="71">
        <f t="shared" si="22"/>
        <v>-2.5148081141131678E-2</v>
      </c>
      <c r="AG57">
        <v>148.19</v>
      </c>
      <c r="AH57" s="70">
        <f t="shared" si="33"/>
        <v>-2.2428920113463979E-2</v>
      </c>
      <c r="AI57" s="70">
        <f t="shared" si="23"/>
        <v>-2.5762253446797313E-2</v>
      </c>
      <c r="AK57" s="204">
        <f t="shared" si="34"/>
        <v>-3.20533088199677E-2</v>
      </c>
    </row>
    <row r="58" spans="2:37">
      <c r="B58" s="209">
        <v>44562</v>
      </c>
      <c r="C58">
        <v>362.86</v>
      </c>
      <c r="D58" s="70">
        <f t="shared" si="24"/>
        <v>-8.7466049693189718E-2</v>
      </c>
      <c r="E58" s="71">
        <f t="shared" si="25"/>
        <v>-9.0799383026523045E-2</v>
      </c>
      <c r="F58">
        <v>226.17</v>
      </c>
      <c r="G58" s="70">
        <f t="shared" si="26"/>
        <v>4.365280789995829E-2</v>
      </c>
      <c r="H58" s="70">
        <f t="shared" si="8"/>
        <v>4.0319474566624956E-2</v>
      </c>
      <c r="I58" s="70">
        <f t="shared" si="9"/>
        <v>-5.2662334263018702E-2</v>
      </c>
      <c r="J58" s="71">
        <f t="shared" si="27"/>
        <v>9.0798901366191592E-2</v>
      </c>
      <c r="K58">
        <v>386.38</v>
      </c>
      <c r="L58" s="70">
        <f t="shared" si="28"/>
        <v>7.5308916842925511E-2</v>
      </c>
      <c r="M58" s="70">
        <f t="shared" si="10"/>
        <v>7.1975583509592184E-2</v>
      </c>
      <c r="N58" s="70">
        <f t="shared" si="11"/>
        <v>-5.7629781001990565E-2</v>
      </c>
      <c r="O58" s="71">
        <f t="shared" si="12"/>
        <v>0.12742245704813068</v>
      </c>
      <c r="P58">
        <v>122.63</v>
      </c>
      <c r="Q58" s="70">
        <f t="shared" si="29"/>
        <v>1.9283517579586018E-2</v>
      </c>
      <c r="R58" s="70">
        <f t="shared" si="13"/>
        <v>1.5950184246252684E-2</v>
      </c>
      <c r="S58" s="70">
        <f t="shared" si="30"/>
        <v>7.3903189669511996E-2</v>
      </c>
      <c r="T58" s="71">
        <f t="shared" si="14"/>
        <v>-6.806928016368255E-2</v>
      </c>
      <c r="U58">
        <v>135.30000000000001</v>
      </c>
      <c r="V58" s="70">
        <f t="shared" si="31"/>
        <v>-6.5930272695892134E-2</v>
      </c>
      <c r="W58" s="70">
        <f t="shared" si="15"/>
        <v>-6.9263606029225461E-2</v>
      </c>
      <c r="X58" s="70">
        <f t="shared" si="16"/>
        <v>-8.3067936483683782E-2</v>
      </c>
      <c r="Y58" s="71">
        <f t="shared" si="17"/>
        <v>9.9778095546976114E-3</v>
      </c>
      <c r="Z58">
        <v>24.49</v>
      </c>
      <c r="AA58" s="70">
        <f t="shared" si="32"/>
        <v>-0.16729003740224424</v>
      </c>
      <c r="AB58" s="70">
        <f t="shared" si="18"/>
        <v>-0.17062337073557757</v>
      </c>
      <c r="AC58" s="70">
        <f t="shared" si="19"/>
        <v>-0.17767871584767023</v>
      </c>
      <c r="AD58" s="71">
        <f t="shared" si="20"/>
        <v>-2.3700194995361384E-2</v>
      </c>
      <c r="AE58" s="151">
        <f t="shared" si="21"/>
        <v>509.79344121327449</v>
      </c>
      <c r="AF58" s="71">
        <f t="shared" si="22"/>
        <v>-8.9098246891973959E-2</v>
      </c>
      <c r="AG58">
        <v>142.38999999999999</v>
      </c>
      <c r="AH58" s="70">
        <f t="shared" si="33"/>
        <v>-3.9138943248532398E-2</v>
      </c>
      <c r="AI58" s="70">
        <f t="shared" si="23"/>
        <v>-4.2472276581865732E-2</v>
      </c>
      <c r="AK58" s="204">
        <f t="shared" si="34"/>
        <v>1.7011361345490861E-3</v>
      </c>
    </row>
    <row r="59" spans="2:37">
      <c r="B59" s="209">
        <v>44593</v>
      </c>
      <c r="C59">
        <v>346.62</v>
      </c>
      <c r="D59" s="70">
        <f t="shared" si="24"/>
        <v>-4.4755553105881085E-2</v>
      </c>
      <c r="E59" s="71">
        <f t="shared" si="25"/>
        <v>-4.8088886439214419E-2</v>
      </c>
      <c r="F59">
        <v>216.12</v>
      </c>
      <c r="G59" s="70">
        <f t="shared" si="26"/>
        <v>-4.4435601538665548E-2</v>
      </c>
      <c r="H59" s="70">
        <f t="shared" si="8"/>
        <v>-4.7768934871998882E-2</v>
      </c>
      <c r="I59" s="70">
        <f t="shared" si="9"/>
        <v>-2.7890861452863687E-2</v>
      </c>
      <c r="J59" s="71">
        <f t="shared" si="27"/>
        <v>-2.2060980882587268E-2</v>
      </c>
      <c r="K59">
        <v>360.82</v>
      </c>
      <c r="L59" s="70">
        <f t="shared" si="28"/>
        <v>-6.6152492365029292E-2</v>
      </c>
      <c r="M59" s="70">
        <f t="shared" si="10"/>
        <v>-6.9485825698362619E-2</v>
      </c>
      <c r="N59" s="70">
        <f t="shared" si="11"/>
        <v>-3.0521705123392657E-2</v>
      </c>
      <c r="O59" s="71">
        <f t="shared" si="12"/>
        <v>-4.1147028038422032E-2</v>
      </c>
      <c r="P59">
        <v>107.01</v>
      </c>
      <c r="Q59" s="70">
        <f t="shared" si="29"/>
        <v>-0.12737503057979283</v>
      </c>
      <c r="R59" s="70">
        <f t="shared" si="13"/>
        <v>-0.13070836391312615</v>
      </c>
      <c r="S59" s="70">
        <f t="shared" si="30"/>
        <v>-2.3864683572312598E-2</v>
      </c>
      <c r="T59" s="71">
        <f t="shared" si="14"/>
        <v>-0.11695995508123679</v>
      </c>
      <c r="U59">
        <v>135.06</v>
      </c>
      <c r="V59" s="70">
        <f t="shared" si="31"/>
        <v>-1.7738359201774356E-3</v>
      </c>
      <c r="W59" s="70">
        <f t="shared" si="15"/>
        <v>-5.1071692535107696E-3</v>
      </c>
      <c r="X59" s="70">
        <f t="shared" si="16"/>
        <v>-4.3994181801179047E-2</v>
      </c>
      <c r="Y59" s="71">
        <f t="shared" si="17"/>
        <v>3.506049164790756E-2</v>
      </c>
      <c r="Z59">
        <v>24.39</v>
      </c>
      <c r="AA59" s="70">
        <f t="shared" si="32"/>
        <v>-4.083299305839061E-3</v>
      </c>
      <c r="AB59" s="70">
        <f t="shared" si="18"/>
        <v>-7.416632639172395E-3</v>
      </c>
      <c r="AC59" s="70">
        <f t="shared" si="19"/>
        <v>-9.4101648097853249E-2</v>
      </c>
      <c r="AD59" s="71">
        <f t="shared" si="20"/>
        <v>5.5929475351226818E-2</v>
      </c>
      <c r="AE59" s="151">
        <f t="shared" si="21"/>
        <v>493.90620574146391</v>
      </c>
      <c r="AF59" s="71">
        <f t="shared" si="22"/>
        <v>-3.1164064084465273E-2</v>
      </c>
      <c r="AG59">
        <v>139.87</v>
      </c>
      <c r="AH59" s="70">
        <f t="shared" si="33"/>
        <v>-1.7697872041575802E-2</v>
      </c>
      <c r="AI59" s="70">
        <f t="shared" si="23"/>
        <v>-2.1031205374909136E-2</v>
      </c>
      <c r="AK59" s="204">
        <f t="shared" si="34"/>
        <v>1.6924822354749146E-2</v>
      </c>
    </row>
    <row r="60" spans="2:37">
      <c r="B60" s="209">
        <v>44621</v>
      </c>
      <c r="C60">
        <v>362.35</v>
      </c>
      <c r="D60" s="70">
        <f t="shared" si="24"/>
        <v>4.5381108995441677E-2</v>
      </c>
      <c r="E60" s="71">
        <f t="shared" si="25"/>
        <v>4.2047775662108343E-2</v>
      </c>
      <c r="F60">
        <v>221.77</v>
      </c>
      <c r="G60" s="70">
        <f t="shared" si="26"/>
        <v>2.6142883583194498E-2</v>
      </c>
      <c r="H60" s="70">
        <f t="shared" si="8"/>
        <v>2.2809550249861164E-2</v>
      </c>
      <c r="I60" s="70">
        <f t="shared" si="9"/>
        <v>2.4387104219502811E-2</v>
      </c>
      <c r="J60" s="71">
        <f t="shared" si="27"/>
        <v>-3.7604614330937203E-3</v>
      </c>
      <c r="K60">
        <v>357.38</v>
      </c>
      <c r="L60" s="70">
        <f t="shared" si="28"/>
        <v>-9.5338395876060078E-3</v>
      </c>
      <c r="M60" s="70">
        <f t="shared" si="10"/>
        <v>-1.2867172920939342E-2</v>
      </c>
      <c r="N60" s="70">
        <f t="shared" si="11"/>
        <v>2.6687451194688183E-2</v>
      </c>
      <c r="O60" s="71">
        <f t="shared" si="12"/>
        <v>-4.1737531579079598E-2</v>
      </c>
      <c r="P60">
        <v>104.26</v>
      </c>
      <c r="Q60" s="70">
        <f t="shared" si="29"/>
        <v>-2.5698532847397426E-2</v>
      </c>
      <c r="R60" s="70">
        <f t="shared" si="13"/>
        <v>-2.903186618073076E-2</v>
      </c>
      <c r="S60" s="70">
        <f t="shared" si="30"/>
        <v>-2.4207167120163589E-2</v>
      </c>
      <c r="T60" s="71">
        <f t="shared" si="14"/>
        <v>-1.4940973800990409E-2</v>
      </c>
      <c r="U60">
        <v>139.07</v>
      </c>
      <c r="V60" s="70">
        <f t="shared" si="31"/>
        <v>2.9690507922404796E-2</v>
      </c>
      <c r="W60" s="70">
        <f t="shared" si="15"/>
        <v>2.6357174589071462E-2</v>
      </c>
      <c r="X60" s="70">
        <f t="shared" si="16"/>
        <v>3.8467463561508194E-2</v>
      </c>
      <c r="Y60" s="71">
        <f t="shared" si="17"/>
        <v>-1.5936809872197446E-2</v>
      </c>
      <c r="Z60">
        <v>27.29</v>
      </c>
      <c r="AA60" s="70">
        <f t="shared" si="32"/>
        <v>0.11890118901189006</v>
      </c>
      <c r="AB60" s="70">
        <f t="shared" si="18"/>
        <v>0.11556785567855674</v>
      </c>
      <c r="AC60" s="70">
        <f t="shared" si="19"/>
        <v>8.2280237319586294E-2</v>
      </c>
      <c r="AD60" s="71">
        <f t="shared" si="20"/>
        <v>2.5320782515163981E-3</v>
      </c>
      <c r="AE60" s="151">
        <f t="shared" si="21"/>
        <v>522.91372025819373</v>
      </c>
      <c r="AF60" s="71">
        <f t="shared" si="22"/>
        <v>5.8730816052782825E-2</v>
      </c>
      <c r="AG60">
        <v>132.08000000000001</v>
      </c>
      <c r="AH60" s="70">
        <f t="shared" si="33"/>
        <v>-5.5694573532565905E-2</v>
      </c>
      <c r="AI60" s="70">
        <f t="shared" si="23"/>
        <v>-5.9027906865899239E-2</v>
      </c>
      <c r="AK60" s="204">
        <f t="shared" si="34"/>
        <v>1.6683040390674482E-2</v>
      </c>
    </row>
    <row r="61" spans="2:37">
      <c r="B61" s="209">
        <v>44652</v>
      </c>
      <c r="C61">
        <v>313.08999999999997</v>
      </c>
      <c r="D61" s="70">
        <f t="shared" si="24"/>
        <v>-0.13594590865185607</v>
      </c>
      <c r="E61" s="71">
        <f t="shared" si="25"/>
        <v>-0.1392792419851894</v>
      </c>
      <c r="F61">
        <v>213.13</v>
      </c>
      <c r="G61" s="70">
        <f t="shared" si="26"/>
        <v>-3.8959282139153228E-2</v>
      </c>
      <c r="H61" s="70">
        <f t="shared" si="8"/>
        <v>-4.2292615472486562E-2</v>
      </c>
      <c r="I61" s="70">
        <f t="shared" si="9"/>
        <v>-8.0779954145518612E-2</v>
      </c>
      <c r="J61" s="71">
        <f t="shared" si="27"/>
        <v>3.6304431209579976E-2</v>
      </c>
      <c r="K61">
        <v>363.38</v>
      </c>
      <c r="L61" s="70">
        <f t="shared" si="28"/>
        <v>1.6788852202137772E-2</v>
      </c>
      <c r="M61" s="70">
        <f t="shared" si="10"/>
        <v>1.3455518868804438E-2</v>
      </c>
      <c r="N61" s="70">
        <f t="shared" si="11"/>
        <v>-8.839963385417593E-2</v>
      </c>
      <c r="O61" s="71">
        <f t="shared" si="12"/>
        <v>9.9672245259528294E-2</v>
      </c>
      <c r="P61">
        <v>92.93</v>
      </c>
      <c r="Q61" s="70">
        <f t="shared" si="29"/>
        <v>-0.10867063111452135</v>
      </c>
      <c r="R61" s="70">
        <f t="shared" si="13"/>
        <v>-0.11200396444785468</v>
      </c>
      <c r="S61" s="70">
        <f t="shared" si="30"/>
        <v>5.7808466551690155E-2</v>
      </c>
      <c r="T61" s="71">
        <f t="shared" si="14"/>
        <v>-0.17992870573996808</v>
      </c>
      <c r="U61">
        <v>114.11</v>
      </c>
      <c r="V61" s="70">
        <f t="shared" si="31"/>
        <v>-0.17947796073919609</v>
      </c>
      <c r="W61" s="70">
        <f t="shared" si="15"/>
        <v>-0.18281129407252941</v>
      </c>
      <c r="X61" s="70">
        <f t="shared" si="16"/>
        <v>-0.1274198000149602</v>
      </c>
      <c r="Y61" s="71">
        <f t="shared" si="17"/>
        <v>-5.9218014957329923E-2</v>
      </c>
      <c r="Z61">
        <v>18.55</v>
      </c>
      <c r="AA61" s="70">
        <f t="shared" si="32"/>
        <v>-0.32026383290582627</v>
      </c>
      <c r="AB61" s="70">
        <f t="shared" si="18"/>
        <v>-0.32359716623915963</v>
      </c>
      <c r="AC61" s="70">
        <f t="shared" si="19"/>
        <v>-0.27254542966373058</v>
      </c>
      <c r="AD61" s="71">
        <f t="shared" si="20"/>
        <v>-8.1807276682883068E-2</v>
      </c>
      <c r="AE61" s="151">
        <f t="shared" si="21"/>
        <v>408.93489358149486</v>
      </c>
      <c r="AF61" s="71">
        <f t="shared" si="22"/>
        <v>-0.21796870546907951</v>
      </c>
      <c r="AG61">
        <v>119.45</v>
      </c>
      <c r="AH61" s="70">
        <f t="shared" si="33"/>
        <v>-9.5623864324651753E-2</v>
      </c>
      <c r="AI61" s="70">
        <f t="shared" si="23"/>
        <v>-9.895719765798508E-2</v>
      </c>
      <c r="AK61" s="204">
        <f t="shared" si="34"/>
        <v>-7.868946348389011E-2</v>
      </c>
    </row>
    <row r="62" spans="2:37">
      <c r="B62" s="209">
        <v>44682</v>
      </c>
      <c r="C62">
        <v>308.12</v>
      </c>
      <c r="D62" s="70">
        <f t="shared" si="24"/>
        <v>-1.5874029831677738E-2</v>
      </c>
      <c r="E62" s="71">
        <f t="shared" si="25"/>
        <v>-1.9207363165011072E-2</v>
      </c>
      <c r="F62">
        <v>212.17</v>
      </c>
      <c r="G62" s="70">
        <f t="shared" si="26"/>
        <v>-4.5042931544128084E-3</v>
      </c>
      <c r="H62" s="70">
        <f t="shared" si="8"/>
        <v>-7.8376264877461424E-3</v>
      </c>
      <c r="I62" s="70">
        <f t="shared" si="9"/>
        <v>-1.1139993969028835E-2</v>
      </c>
      <c r="J62" s="71">
        <f t="shared" si="27"/>
        <v>1.1194600178306216E-3</v>
      </c>
      <c r="K62">
        <v>357.87</v>
      </c>
      <c r="L62" s="70">
        <f t="shared" si="28"/>
        <v>-1.5163190048984476E-2</v>
      </c>
      <c r="M62" s="70">
        <f t="shared" si="10"/>
        <v>-1.849652338231781E-2</v>
      </c>
      <c r="N62" s="70">
        <f t="shared" si="11"/>
        <v>-1.2190789143379439E-2</v>
      </c>
      <c r="O62" s="71">
        <f t="shared" si="12"/>
        <v>-8.4886417023904443E-3</v>
      </c>
      <c r="P62">
        <v>95.3</v>
      </c>
      <c r="Q62" s="70">
        <f t="shared" si="29"/>
        <v>2.5503066824491549E-2</v>
      </c>
      <c r="R62" s="70">
        <f t="shared" si="13"/>
        <v>2.2169733491158215E-2</v>
      </c>
      <c r="S62" s="70">
        <f t="shared" si="30"/>
        <v>-4.9232899153037754E-3</v>
      </c>
      <c r="T62" s="71">
        <f t="shared" si="14"/>
        <v>1.6976748666038752E-2</v>
      </c>
      <c r="U62">
        <v>113.76</v>
      </c>
      <c r="V62" s="70">
        <f t="shared" si="31"/>
        <v>-3.067215844360649E-3</v>
      </c>
      <c r="W62" s="70">
        <f t="shared" si="15"/>
        <v>-6.400549177693983E-3</v>
      </c>
      <c r="X62" s="70">
        <f t="shared" si="16"/>
        <v>-1.7571881770872027E-2</v>
      </c>
      <c r="Y62" s="71">
        <f t="shared" si="17"/>
        <v>7.3448116934173302E-3</v>
      </c>
      <c r="Z62">
        <v>18.670000000000002</v>
      </c>
      <c r="AA62" s="70">
        <f t="shared" si="32"/>
        <v>6.4690026954179469E-3</v>
      </c>
      <c r="AB62" s="70">
        <f t="shared" si="18"/>
        <v>3.1356693620846134E-3</v>
      </c>
      <c r="AC62" s="70">
        <f t="shared" si="19"/>
        <v>-3.7585493515766823E-2</v>
      </c>
      <c r="AD62" s="71">
        <f t="shared" si="20"/>
        <v>9.9656227703973956E-3</v>
      </c>
      <c r="AE62" s="151">
        <f t="shared" si="21"/>
        <v>409.50234159983847</v>
      </c>
      <c r="AF62" s="71">
        <f t="shared" si="22"/>
        <v>1.3876243559796391E-3</v>
      </c>
      <c r="AG62">
        <v>116.56</v>
      </c>
      <c r="AH62" s="70">
        <f t="shared" si="33"/>
        <v>-2.4194223524487191E-2</v>
      </c>
      <c r="AI62" s="70">
        <f t="shared" si="23"/>
        <v>-2.7527556857820525E-2</v>
      </c>
      <c r="AK62" s="204">
        <f t="shared" si="34"/>
        <v>2.0594987520990711E-2</v>
      </c>
    </row>
    <row r="63" spans="2:37">
      <c r="B63" s="209">
        <v>44713</v>
      </c>
      <c r="C63">
        <v>280.13</v>
      </c>
      <c r="D63" s="70">
        <f t="shared" si="24"/>
        <v>-9.0841230689341801E-2</v>
      </c>
      <c r="E63" s="71">
        <f t="shared" si="25"/>
        <v>-9.4174564022675128E-2</v>
      </c>
      <c r="F63">
        <v>196.89</v>
      </c>
      <c r="G63" s="70">
        <f t="shared" si="26"/>
        <v>-7.2017721638308885E-2</v>
      </c>
      <c r="H63" s="70">
        <f t="shared" si="8"/>
        <v>-7.5351054971642212E-2</v>
      </c>
      <c r="I63" s="70">
        <f t="shared" si="9"/>
        <v>-5.4619890624008828E-2</v>
      </c>
      <c r="J63" s="71">
        <f t="shared" si="27"/>
        <v>-2.291407181108545E-2</v>
      </c>
      <c r="K63">
        <v>315.48</v>
      </c>
      <c r="L63" s="70">
        <f t="shared" si="28"/>
        <v>-0.11845083410176871</v>
      </c>
      <c r="M63" s="70">
        <f t="shared" si="10"/>
        <v>-0.12178416743510204</v>
      </c>
      <c r="N63" s="70">
        <f t="shared" si="11"/>
        <v>-5.9771986545320156E-2</v>
      </c>
      <c r="O63" s="71">
        <f t="shared" si="12"/>
        <v>-6.4195088353233953E-2</v>
      </c>
      <c r="P63">
        <v>81.75</v>
      </c>
      <c r="Q63" s="70">
        <f t="shared" si="29"/>
        <v>-0.14218258132214057</v>
      </c>
      <c r="R63" s="70">
        <f t="shared" si="13"/>
        <v>-0.14551591465547389</v>
      </c>
      <c r="S63" s="70">
        <f t="shared" si="30"/>
        <v>-3.7232226566060622E-2</v>
      </c>
      <c r="T63" s="71">
        <f t="shared" si="14"/>
        <v>-0.1183999628298365</v>
      </c>
      <c r="U63">
        <v>108.96</v>
      </c>
      <c r="V63" s="70">
        <f t="shared" si="31"/>
        <v>-4.219409282700437E-2</v>
      </c>
      <c r="W63" s="70">
        <f t="shared" si="15"/>
        <v>-4.5527426160337704E-2</v>
      </c>
      <c r="X63" s="70">
        <f t="shared" si="16"/>
        <v>-8.6155725312903039E-2</v>
      </c>
      <c r="Y63" s="71">
        <f t="shared" si="17"/>
        <v>3.6801778252804618E-2</v>
      </c>
      <c r="Z63">
        <v>15.16</v>
      </c>
      <c r="AA63" s="70">
        <f t="shared" si="32"/>
        <v>-0.18800214247455815</v>
      </c>
      <c r="AB63" s="70">
        <f t="shared" si="18"/>
        <v>-0.19133547580789148</v>
      </c>
      <c r="AC63" s="70">
        <f t="shared" si="19"/>
        <v>-0.1842833623238978</v>
      </c>
      <c r="AD63" s="71">
        <f t="shared" si="20"/>
        <v>-3.7807653591447721E-2</v>
      </c>
      <c r="AE63" s="151">
        <f t="shared" si="21"/>
        <v>353.5038189851673</v>
      </c>
      <c r="AF63" s="71">
        <f t="shared" si="22"/>
        <v>-0.13674774702361137</v>
      </c>
      <c r="AG63">
        <v>114.87</v>
      </c>
      <c r="AH63" s="70">
        <f t="shared" si="33"/>
        <v>-1.4498970487302643E-2</v>
      </c>
      <c r="AI63" s="70">
        <f t="shared" si="23"/>
        <v>-1.7832303820635977E-2</v>
      </c>
      <c r="AK63" s="204">
        <f t="shared" si="34"/>
        <v>-4.2573183000936238E-2</v>
      </c>
    </row>
    <row r="64" spans="2:37">
      <c r="B64" s="209">
        <v>44743</v>
      </c>
      <c r="C64">
        <v>315.29000000000002</v>
      </c>
      <c r="D64" s="70">
        <f t="shared" si="24"/>
        <v>0.1255131546067898</v>
      </c>
      <c r="E64" s="71">
        <f t="shared" si="25"/>
        <v>0.12217982127345647</v>
      </c>
      <c r="F64">
        <v>212.11</v>
      </c>
      <c r="G64" s="70">
        <f t="shared" si="26"/>
        <v>7.7302046828178206E-2</v>
      </c>
      <c r="H64" s="70">
        <f t="shared" si="8"/>
        <v>7.3968713494844879E-2</v>
      </c>
      <c r="I64" s="70">
        <f t="shared" si="9"/>
        <v>7.0862536436168924E-2</v>
      </c>
      <c r="J64" s="71">
        <f t="shared" si="27"/>
        <v>9.2326959522388841E-4</v>
      </c>
      <c r="K64">
        <v>353.79</v>
      </c>
      <c r="L64" s="70">
        <f t="shared" si="28"/>
        <v>0.12143400532521875</v>
      </c>
      <c r="M64" s="70">
        <f t="shared" si="10"/>
        <v>0.11810067199188543</v>
      </c>
      <c r="N64" s="70">
        <f t="shared" si="11"/>
        <v>7.754674214906139E-2</v>
      </c>
      <c r="O64" s="71">
        <f t="shared" si="12"/>
        <v>3.8371022379371969E-2</v>
      </c>
      <c r="P64">
        <v>88.48</v>
      </c>
      <c r="Q64" s="70">
        <f t="shared" si="29"/>
        <v>8.2324159021406773E-2</v>
      </c>
      <c r="R64" s="70">
        <f t="shared" si="13"/>
        <v>7.8990825688073446E-2</v>
      </c>
      <c r="S64" s="70">
        <f t="shared" si="30"/>
        <v>2.2254640276200964E-2</v>
      </c>
      <c r="T64" s="71">
        <f t="shared" si="14"/>
        <v>4.6619910671449237E-2</v>
      </c>
      <c r="U64">
        <v>116.32</v>
      </c>
      <c r="V64" s="70">
        <f t="shared" si="31"/>
        <v>6.7547723935389214E-2</v>
      </c>
      <c r="W64" s="70">
        <f t="shared" si="15"/>
        <v>6.4214390602055887E-2</v>
      </c>
      <c r="X64" s="70">
        <f t="shared" si="16"/>
        <v>0.11177637220471719</v>
      </c>
      <c r="Y64" s="71">
        <f t="shared" si="17"/>
        <v>-5.1388502502422009E-2</v>
      </c>
      <c r="Z64">
        <v>18.16</v>
      </c>
      <c r="AA64" s="70">
        <f t="shared" si="32"/>
        <v>0.19788918205804751</v>
      </c>
      <c r="AB64" s="70">
        <f t="shared" si="18"/>
        <v>0.19455584872471418</v>
      </c>
      <c r="AC64" s="70">
        <f t="shared" si="19"/>
        <v>0.23908481558761638</v>
      </c>
      <c r="AD64" s="71">
        <f t="shared" si="20"/>
        <v>-7.5284506970356241E-2</v>
      </c>
      <c r="AE64" s="151">
        <f t="shared" si="21"/>
        <v>400.53452850657459</v>
      </c>
      <c r="AF64" s="71">
        <f t="shared" si="22"/>
        <v>0.13304158822505013</v>
      </c>
      <c r="AG64">
        <v>117.43</v>
      </c>
      <c r="AH64" s="70">
        <f t="shared" si="33"/>
        <v>2.2286062505440851E-2</v>
      </c>
      <c r="AI64" s="70">
        <f t="shared" si="23"/>
        <v>1.8952729172107517E-2</v>
      </c>
      <c r="AK64" s="204">
        <f t="shared" si="34"/>
        <v>1.086176695159366E-2</v>
      </c>
    </row>
    <row r="65" spans="2:37">
      <c r="B65" s="209">
        <v>44774</v>
      </c>
      <c r="C65">
        <v>299.11</v>
      </c>
      <c r="D65" s="70">
        <f t="shared" si="24"/>
        <v>-5.131783437470272E-2</v>
      </c>
      <c r="E65" s="71">
        <f t="shared" si="25"/>
        <v>-5.4651167708036054E-2</v>
      </c>
      <c r="F65">
        <v>198.71</v>
      </c>
      <c r="G65" s="70">
        <f t="shared" si="26"/>
        <v>-6.3174767809155652E-2</v>
      </c>
      <c r="H65" s="70">
        <f t="shared" si="8"/>
        <v>-6.6508101142488979E-2</v>
      </c>
      <c r="I65" s="70">
        <f t="shared" si="9"/>
        <v>-3.1696890064376211E-2</v>
      </c>
      <c r="J65" s="71">
        <f t="shared" si="27"/>
        <v>-3.6994118541564834E-2</v>
      </c>
      <c r="K65">
        <v>324.37</v>
      </c>
      <c r="L65" s="70">
        <f t="shared" si="28"/>
        <v>-8.3156674863619662E-2</v>
      </c>
      <c r="M65" s="70">
        <f t="shared" si="10"/>
        <v>-8.6490008196952989E-2</v>
      </c>
      <c r="N65" s="70">
        <f t="shared" si="11"/>
        <v>-3.4686742591600851E-2</v>
      </c>
      <c r="O65" s="71">
        <f t="shared" si="12"/>
        <v>-5.3986173068804204E-2</v>
      </c>
      <c r="P65">
        <v>83.35</v>
      </c>
      <c r="Q65" s="70">
        <f t="shared" si="29"/>
        <v>-5.7979204339963952E-2</v>
      </c>
      <c r="R65" s="70">
        <f t="shared" si="13"/>
        <v>-6.1312537673297286E-2</v>
      </c>
      <c r="S65" s="70">
        <f t="shared" si="30"/>
        <v>-3.1311202752336724E-2</v>
      </c>
      <c r="T65" s="71">
        <f t="shared" si="14"/>
        <v>-4.01176096613838E-2</v>
      </c>
      <c r="U65">
        <v>108.22</v>
      </c>
      <c r="V65" s="70">
        <f t="shared" si="31"/>
        <v>-6.9635488308115501E-2</v>
      </c>
      <c r="W65" s="70">
        <f t="shared" si="15"/>
        <v>-7.2968821641448828E-2</v>
      </c>
      <c r="X65" s="70">
        <f t="shared" si="16"/>
        <v>-4.9997693559263486E-2</v>
      </c>
      <c r="Y65" s="71">
        <f t="shared" si="17"/>
        <v>-2.6797648981946053E-2</v>
      </c>
      <c r="Z65">
        <v>15.09</v>
      </c>
      <c r="AA65" s="70">
        <f t="shared" si="32"/>
        <v>-0.16905286343612336</v>
      </c>
      <c r="AB65" s="70">
        <f t="shared" si="18"/>
        <v>-0.17238619676945668</v>
      </c>
      <c r="AC65" s="70">
        <f t="shared" si="19"/>
        <v>-0.10694289954704932</v>
      </c>
      <c r="AD65" s="71">
        <f t="shared" si="20"/>
        <v>-9.6198837329861411E-2</v>
      </c>
      <c r="AE65" s="151">
        <f t="shared" si="21"/>
        <v>352.67675040960415</v>
      </c>
      <c r="AF65" s="71">
        <f t="shared" si="22"/>
        <v>-0.11948477519631584</v>
      </c>
      <c r="AG65">
        <v>111.88</v>
      </c>
      <c r="AH65" s="70">
        <f t="shared" si="33"/>
        <v>-4.7262198756706231E-2</v>
      </c>
      <c r="AI65" s="70">
        <f t="shared" si="23"/>
        <v>-5.0595532090039565E-2</v>
      </c>
      <c r="AK65" s="204">
        <f t="shared" si="34"/>
        <v>-6.4833607488279793E-2</v>
      </c>
    </row>
    <row r="66" spans="2:37">
      <c r="B66" s="209">
        <v>44805</v>
      </c>
      <c r="C66">
        <v>267.12</v>
      </c>
      <c r="D66" s="70">
        <f t="shared" si="24"/>
        <v>-0.10695062017318047</v>
      </c>
      <c r="E66" s="71">
        <f t="shared" si="25"/>
        <v>-0.11028395350651379</v>
      </c>
      <c r="F66">
        <v>177.65</v>
      </c>
      <c r="G66" s="70">
        <f t="shared" si="26"/>
        <v>-0.10598359418247694</v>
      </c>
      <c r="H66" s="70">
        <f t="shared" si="8"/>
        <v>-0.10931692751581026</v>
      </c>
      <c r="I66" s="70">
        <f t="shared" si="9"/>
        <v>-6.3963104481786479E-2</v>
      </c>
      <c r="J66" s="71">
        <f t="shared" si="27"/>
        <v>-4.7536730497475851E-2</v>
      </c>
      <c r="K66">
        <v>284.33999999999997</v>
      </c>
      <c r="L66" s="70">
        <f t="shared" si="28"/>
        <v>-0.12340845330949235</v>
      </c>
      <c r="M66" s="70">
        <f t="shared" si="10"/>
        <v>-0.12674178664282568</v>
      </c>
      <c r="N66" s="70">
        <f t="shared" si="11"/>
        <v>-6.9996511834861025E-2</v>
      </c>
      <c r="O66" s="71">
        <f t="shared" si="12"/>
        <v>-5.8928182271416718E-2</v>
      </c>
      <c r="P66">
        <v>68.56</v>
      </c>
      <c r="Q66" s="70">
        <f t="shared" si="29"/>
        <v>-0.17744451109778037</v>
      </c>
      <c r="R66" s="70">
        <f t="shared" si="13"/>
        <v>-0.18077784443111369</v>
      </c>
      <c r="S66" s="70">
        <f t="shared" si="30"/>
        <v>-3.4177496904168922E-2</v>
      </c>
      <c r="T66" s="71">
        <f t="shared" si="14"/>
        <v>-0.15671662226736799</v>
      </c>
      <c r="U66">
        <v>95.65</v>
      </c>
      <c r="V66" s="70">
        <f t="shared" si="31"/>
        <v>-0.11615228238772868</v>
      </c>
      <c r="W66" s="70">
        <f t="shared" si="15"/>
        <v>-0.11948561572106201</v>
      </c>
      <c r="X66" s="70">
        <f t="shared" si="16"/>
        <v>-0.10089342173583518</v>
      </c>
      <c r="Y66" s="71">
        <f t="shared" si="17"/>
        <v>-2.2418714884987534E-2</v>
      </c>
      <c r="Z66">
        <v>12.14</v>
      </c>
      <c r="AA66" s="70">
        <f t="shared" si="32"/>
        <v>-0.19549370444002645</v>
      </c>
      <c r="AB66" s="70">
        <f t="shared" si="18"/>
        <v>-0.19882703777335978</v>
      </c>
      <c r="AC66" s="70">
        <f t="shared" si="19"/>
        <v>-0.21580665621833234</v>
      </c>
      <c r="AD66" s="71">
        <f t="shared" si="20"/>
        <v>-1.3775921662481483E-2</v>
      </c>
      <c r="AE66" s="151">
        <f t="shared" si="21"/>
        <v>294.12101537815124</v>
      </c>
      <c r="AF66" s="71">
        <f t="shared" si="22"/>
        <v>-0.16603230851890677</v>
      </c>
      <c r="AG66">
        <v>102.45</v>
      </c>
      <c r="AH66" s="70">
        <f t="shared" si="33"/>
        <v>-8.4286735788344558E-2</v>
      </c>
      <c r="AI66" s="70">
        <f t="shared" si="23"/>
        <v>-8.7620069121677885E-2</v>
      </c>
      <c r="AK66" s="204">
        <f t="shared" si="34"/>
        <v>-5.5748355012392975E-2</v>
      </c>
    </row>
    <row r="67" spans="2:37">
      <c r="B67" s="209">
        <v>44835</v>
      </c>
      <c r="C67">
        <v>277.8</v>
      </c>
      <c r="D67" s="70">
        <f t="shared" si="24"/>
        <v>3.9982030548068259E-2</v>
      </c>
      <c r="E67" s="71">
        <f t="shared" si="25"/>
        <v>3.6648697214734925E-2</v>
      </c>
      <c r="F67">
        <v>207.16</v>
      </c>
      <c r="G67" s="70">
        <f t="shared" si="26"/>
        <v>0.16611314382212217</v>
      </c>
      <c r="H67" s="70">
        <f t="shared" si="8"/>
        <v>0.16277981048878884</v>
      </c>
      <c r="I67" s="70">
        <f t="shared" si="9"/>
        <v>2.125571648942556E-2</v>
      </c>
      <c r="J67" s="71">
        <f t="shared" si="27"/>
        <v>0.13934118653591121</v>
      </c>
      <c r="K67">
        <v>328.18</v>
      </c>
      <c r="L67" s="70">
        <f t="shared" si="28"/>
        <v>0.15418161356122972</v>
      </c>
      <c r="M67" s="70">
        <f t="shared" si="10"/>
        <v>0.1508482802278964</v>
      </c>
      <c r="N67" s="70">
        <f t="shared" si="11"/>
        <v>2.3260691032190063E-2</v>
      </c>
      <c r="O67" s="71">
        <f t="shared" si="12"/>
        <v>0.12540468173225428</v>
      </c>
      <c r="P67">
        <v>61.55</v>
      </c>
      <c r="Q67" s="70">
        <f t="shared" si="29"/>
        <v>-0.10224620770128356</v>
      </c>
      <c r="R67" s="70">
        <f t="shared" si="13"/>
        <v>-0.10557954103461689</v>
      </c>
      <c r="S67" s="70">
        <f t="shared" si="30"/>
        <v>7.273290905074048E-2</v>
      </c>
      <c r="T67" s="71">
        <f t="shared" si="14"/>
        <v>-0.1884287248257806</v>
      </c>
      <c r="U67">
        <v>94.51</v>
      </c>
      <c r="V67" s="70">
        <f t="shared" si="31"/>
        <v>-1.1918452692106674E-2</v>
      </c>
      <c r="W67" s="70">
        <f t="shared" si="15"/>
        <v>-1.5251786025440008E-2</v>
      </c>
      <c r="X67" s="70">
        <f t="shared" si="16"/>
        <v>3.3528109453718341E-2</v>
      </c>
      <c r="Y67" s="71">
        <f t="shared" si="17"/>
        <v>-5.2606416378919066E-2</v>
      </c>
      <c r="Z67">
        <v>13.5</v>
      </c>
      <c r="AA67" s="70">
        <f t="shared" si="32"/>
        <v>0.1120263591433277</v>
      </c>
      <c r="AB67" s="70">
        <f t="shared" si="18"/>
        <v>0.10869302580999438</v>
      </c>
      <c r="AC67" s="70">
        <f t="shared" si="19"/>
        <v>7.1715172962156418E-2</v>
      </c>
      <c r="AD67" s="71">
        <f t="shared" si="20"/>
        <v>6.2223127403839146E-3</v>
      </c>
      <c r="AE67" s="151">
        <f t="shared" si="21"/>
        <v>310.29506410672826</v>
      </c>
      <c r="AF67" s="71">
        <f t="shared" si="22"/>
        <v>5.4991135902961875E-2</v>
      </c>
      <c r="AG67">
        <v>96.11</v>
      </c>
      <c r="AH67" s="70">
        <f t="shared" si="33"/>
        <v>-6.1883845778428537E-2</v>
      </c>
      <c r="AI67" s="70">
        <f t="shared" si="23"/>
        <v>-6.5217179111761864E-2</v>
      </c>
      <c r="AK67" s="204">
        <f t="shared" si="34"/>
        <v>1.834243868822695E-2</v>
      </c>
    </row>
    <row r="68" spans="2:37">
      <c r="B68" s="209">
        <v>44866</v>
      </c>
      <c r="C68">
        <v>293.20999999999998</v>
      </c>
      <c r="D68" s="70">
        <f t="shared" si="24"/>
        <v>5.5471562275017927E-2</v>
      </c>
      <c r="E68" s="71">
        <f t="shared" si="25"/>
        <v>5.2138228941684593E-2</v>
      </c>
      <c r="F68">
        <v>217</v>
      </c>
      <c r="G68" s="70">
        <f t="shared" si="26"/>
        <v>4.7499517281328396E-2</v>
      </c>
      <c r="H68" s="70">
        <f t="shared" si="8"/>
        <v>4.4166183947995062E-2</v>
      </c>
      <c r="I68" s="70">
        <f t="shared" si="9"/>
        <v>3.0239421776761945E-2</v>
      </c>
      <c r="J68" s="71">
        <f t="shared" si="27"/>
        <v>1.1743854707781044E-2</v>
      </c>
      <c r="K68">
        <v>356.4</v>
      </c>
      <c r="L68" s="70">
        <f t="shared" si="28"/>
        <v>8.5989396063135937E-2</v>
      </c>
      <c r="M68" s="70">
        <f t="shared" si="10"/>
        <v>8.265606272980261E-2</v>
      </c>
      <c r="N68" s="70">
        <f t="shared" si="11"/>
        <v>3.3091796613455335E-2</v>
      </c>
      <c r="O68" s="71">
        <f t="shared" si="12"/>
        <v>4.7381358652895209E-2</v>
      </c>
      <c r="P68">
        <v>82.98</v>
      </c>
      <c r="Q68" s="70">
        <f t="shared" si="29"/>
        <v>0.34817221770917972</v>
      </c>
      <c r="R68" s="70">
        <f t="shared" si="13"/>
        <v>0.34483888437584637</v>
      </c>
      <c r="S68" s="70">
        <f t="shared" si="30"/>
        <v>2.7480505528169441E-2</v>
      </c>
      <c r="T68" s="71">
        <f t="shared" si="14"/>
        <v>0.30724210410725367</v>
      </c>
      <c r="U68">
        <v>100.99</v>
      </c>
      <c r="V68" s="70">
        <f t="shared" si="31"/>
        <v>6.8564173103375259E-2</v>
      </c>
      <c r="W68" s="70">
        <f t="shared" si="15"/>
        <v>6.5230839770041932E-2</v>
      </c>
      <c r="X68" s="70">
        <f t="shared" si="16"/>
        <v>4.7698728182266434E-2</v>
      </c>
      <c r="Y68" s="71">
        <f t="shared" si="17"/>
        <v>1.3705590688014788E-2</v>
      </c>
      <c r="Z68">
        <v>16.920000000000002</v>
      </c>
      <c r="AA68" s="70">
        <f t="shared" si="32"/>
        <v>0.25333333333333341</v>
      </c>
      <c r="AB68" s="70">
        <f t="shared" si="18"/>
        <v>0.25000000000000006</v>
      </c>
      <c r="AC68" s="70">
        <f t="shared" si="19"/>
        <v>0.10202551224631477</v>
      </c>
      <c r="AD68" s="71">
        <f t="shared" si="20"/>
        <v>0.11721894764623124</v>
      </c>
      <c r="AE68" s="151">
        <f t="shared" si="21"/>
        <v>370.26572145316777</v>
      </c>
      <c r="AF68" s="71">
        <f t="shared" si="22"/>
        <v>0.19326977539614398</v>
      </c>
      <c r="AG68">
        <v>102.73</v>
      </c>
      <c r="AH68" s="70">
        <f t="shared" si="33"/>
        <v>6.887940901050893E-2</v>
      </c>
      <c r="AI68" s="70">
        <f t="shared" si="23"/>
        <v>6.5546075677175603E-2</v>
      </c>
      <c r="AK68" s="204">
        <f t="shared" si="34"/>
        <v>0.14113154645445938</v>
      </c>
    </row>
    <row r="69" spans="2:37">
      <c r="B69" s="209">
        <v>44896</v>
      </c>
      <c r="C69">
        <v>266.14</v>
      </c>
      <c r="D69" s="70">
        <f t="shared" si="24"/>
        <v>-9.2322908495617417E-2</v>
      </c>
      <c r="E69" s="71">
        <f t="shared" si="25"/>
        <v>-9.5656241828950744E-2</v>
      </c>
      <c r="F69">
        <v>207.76</v>
      </c>
      <c r="G69" s="70">
        <f t="shared" si="26"/>
        <v>-4.2580645161290342E-2</v>
      </c>
      <c r="H69" s="70">
        <f t="shared" si="8"/>
        <v>-4.5913978494623676E-2</v>
      </c>
      <c r="I69" s="70">
        <f t="shared" si="9"/>
        <v>-5.5479242409267E-2</v>
      </c>
      <c r="J69" s="71">
        <f t="shared" si="27"/>
        <v>7.3823564511912507E-3</v>
      </c>
      <c r="K69">
        <v>347.73</v>
      </c>
      <c r="L69" s="70">
        <f t="shared" si="28"/>
        <v>-2.4326599326599196E-2</v>
      </c>
      <c r="M69" s="70">
        <f t="shared" si="10"/>
        <v>-2.765993265993253E-2</v>
      </c>
      <c r="N69" s="70">
        <f t="shared" si="11"/>
        <v>-6.0712397863602253E-2</v>
      </c>
      <c r="O69" s="71">
        <f t="shared" si="12"/>
        <v>3.086955774021765E-2</v>
      </c>
      <c r="P69">
        <v>74.489999999999995</v>
      </c>
      <c r="Q69" s="70">
        <f t="shared" si="29"/>
        <v>-0.10231381055676081</v>
      </c>
      <c r="R69" s="70">
        <f t="shared" si="13"/>
        <v>-0.10564714389009414</v>
      </c>
      <c r="S69" s="70">
        <f t="shared" si="30"/>
        <v>1.7903898838079465E-2</v>
      </c>
      <c r="T69" s="71">
        <f t="shared" si="14"/>
        <v>-0.13366731746859684</v>
      </c>
      <c r="U69">
        <v>88.23</v>
      </c>
      <c r="V69" s="70">
        <f t="shared" si="31"/>
        <v>-0.12634914347955239</v>
      </c>
      <c r="W69" s="70">
        <f t="shared" si="15"/>
        <v>-0.12968247681288572</v>
      </c>
      <c r="X69" s="70">
        <f t="shared" si="16"/>
        <v>-8.7511240227195294E-2</v>
      </c>
      <c r="Y69" s="71">
        <f t="shared" si="17"/>
        <v>-4.5997757485451138E-2</v>
      </c>
      <c r="Z69">
        <v>14.61</v>
      </c>
      <c r="AA69" s="70">
        <f t="shared" si="32"/>
        <v>-0.13652482269503563</v>
      </c>
      <c r="AB69" s="70">
        <f t="shared" si="18"/>
        <v>-0.13985815602836896</v>
      </c>
      <c r="AC69" s="70">
        <f t="shared" si="19"/>
        <v>-0.18718274997548728</v>
      </c>
      <c r="AD69" s="71">
        <f t="shared" si="20"/>
        <v>1.6569053839664283E-2</v>
      </c>
      <c r="AE69" s="151">
        <f t="shared" si="21"/>
        <v>326.32685102379111</v>
      </c>
      <c r="AF69" s="71">
        <f t="shared" si="22"/>
        <v>-0.11866848018480207</v>
      </c>
      <c r="AG69">
        <v>99.56</v>
      </c>
      <c r="AH69" s="70">
        <f t="shared" si="33"/>
        <v>-3.0857587851649937E-2</v>
      </c>
      <c r="AI69" s="70">
        <f t="shared" si="23"/>
        <v>-3.4190921184983271E-2</v>
      </c>
      <c r="AK69" s="204">
        <f t="shared" si="34"/>
        <v>-2.3012238355851325E-2</v>
      </c>
    </row>
    <row r="70" spans="2:37">
      <c r="B70" s="209">
        <v>44927</v>
      </c>
      <c r="C70">
        <v>294.45999999999998</v>
      </c>
      <c r="D70" s="70">
        <f t="shared" si="24"/>
        <v>0.10641016006613069</v>
      </c>
      <c r="E70" s="71">
        <f t="shared" si="25"/>
        <v>0.10307682673279736</v>
      </c>
      <c r="F70">
        <v>230.21</v>
      </c>
      <c r="G70" s="70">
        <f t="shared" si="26"/>
        <v>0.10805737389295356</v>
      </c>
      <c r="H70" s="70">
        <f t="shared" si="8"/>
        <v>0.10472404055962023</v>
      </c>
      <c r="I70" s="70">
        <f t="shared" si="9"/>
        <v>5.9783074765917821E-2</v>
      </c>
      <c r="J70" s="71">
        <f t="shared" si="27"/>
        <v>4.2758058330250343E-2</v>
      </c>
      <c r="K70">
        <v>370.6</v>
      </c>
      <c r="L70" s="70">
        <f t="shared" si="28"/>
        <v>6.576941880194398E-2</v>
      </c>
      <c r="M70" s="70">
        <f t="shared" si="10"/>
        <v>6.2436085468610646E-2</v>
      </c>
      <c r="N70" s="70">
        <f t="shared" si="11"/>
        <v>6.5422195096370234E-2</v>
      </c>
      <c r="O70" s="71">
        <f t="shared" si="12"/>
        <v>-5.1690170912116612E-3</v>
      </c>
      <c r="P70">
        <v>92.73</v>
      </c>
      <c r="Q70" s="70">
        <f t="shared" si="29"/>
        <v>0.24486508256141781</v>
      </c>
      <c r="R70" s="70">
        <f t="shared" si="13"/>
        <v>0.24153174922808449</v>
      </c>
      <c r="S70" s="70">
        <f t="shared" si="30"/>
        <v>-2.9979554573529451E-3</v>
      </c>
      <c r="T70" s="71">
        <f t="shared" si="14"/>
        <v>0.23441342994501421</v>
      </c>
      <c r="U70">
        <v>98.84</v>
      </c>
      <c r="V70" s="70">
        <f t="shared" si="31"/>
        <v>0.12025388189958064</v>
      </c>
      <c r="W70" s="70">
        <f t="shared" si="15"/>
        <v>0.11692054856624731</v>
      </c>
      <c r="X70" s="70">
        <f t="shared" si="16"/>
        <v>9.4299972208826216E-2</v>
      </c>
      <c r="Y70" s="71">
        <f t="shared" si="17"/>
        <v>1.8794055457660386E-2</v>
      </c>
      <c r="Z70">
        <v>19.54</v>
      </c>
      <c r="AA70" s="70">
        <f t="shared" si="32"/>
        <v>0.33744010951403158</v>
      </c>
      <c r="AB70" s="70">
        <f t="shared" si="18"/>
        <v>0.33410677618069823</v>
      </c>
      <c r="AC70" s="70">
        <f t="shared" si="19"/>
        <v>0.20170355345020846</v>
      </c>
      <c r="AD70" s="71">
        <f t="shared" si="20"/>
        <v>0.10164768262303575</v>
      </c>
      <c r="AE70" s="151">
        <f t="shared" si="21"/>
        <v>402.94780705933977</v>
      </c>
      <c r="AF70" s="71">
        <f t="shared" si="22"/>
        <v>0.23479819633341331</v>
      </c>
      <c r="AG70">
        <v>107.17</v>
      </c>
      <c r="AH70" s="70">
        <f t="shared" si="33"/>
        <v>7.6436319807151376E-2</v>
      </c>
      <c r="AI70" s="70">
        <f t="shared" si="23"/>
        <v>7.3102986473818049E-2</v>
      </c>
      <c r="AK70" s="204">
        <f t="shared" si="34"/>
        <v>0.13172136960061595</v>
      </c>
    </row>
    <row r="71" spans="2:37">
      <c r="B71" s="209">
        <v>44958</v>
      </c>
      <c r="C71">
        <v>293.41000000000003</v>
      </c>
      <c r="D71" s="70">
        <f t="shared" si="24"/>
        <v>-3.5658493513548439E-3</v>
      </c>
      <c r="E71" s="71">
        <f t="shared" ref="E71:E97" si="35">D71-$E$7/12</f>
        <v>-6.8991826846881779E-3</v>
      </c>
      <c r="F71">
        <v>219.94</v>
      </c>
      <c r="G71" s="70">
        <f t="shared" si="26"/>
        <v>-4.4611441727118728E-2</v>
      </c>
      <c r="H71" s="70">
        <f t="shared" ref="H71:H97" si="36">G71-$E$7/12</f>
        <v>-4.7944775060452062E-2</v>
      </c>
      <c r="I71" s="70">
        <f t="shared" ref="I71:I97" si="37">$G$17*E71</f>
        <v>-4.0014265799201473E-3</v>
      </c>
      <c r="J71" s="71">
        <f t="shared" ref="J71:J97" si="38">H71-$G$13/12-I71</f>
        <v>-4.6126255943983986E-2</v>
      </c>
      <c r="K71">
        <v>355.29</v>
      </c>
      <c r="L71" s="70">
        <f t="shared" si="28"/>
        <v>-4.1311386940097172E-2</v>
      </c>
      <c r="M71" s="70">
        <f t="shared" ref="M71:M97" si="39">L71-$E$7/12</f>
        <v>-4.4644720273430506E-2</v>
      </c>
      <c r="N71" s="70">
        <f t="shared" ref="N71:N97" si="40">$H$17*E71</f>
        <v>-4.3788666173553634E-3</v>
      </c>
      <c r="O71" s="71">
        <f t="shared" ref="O71:O97" si="41">M71-$G$13/12-N71</f>
        <v>-4.2448761119527216E-2</v>
      </c>
      <c r="P71">
        <v>87.07</v>
      </c>
      <c r="Q71" s="70">
        <f t="shared" si="29"/>
        <v>-6.1037420468025516E-2</v>
      </c>
      <c r="R71" s="70">
        <f t="shared" ref="R71:R97" si="42">Q71-$E$7/12</f>
        <v>-6.4370753801358843E-2</v>
      </c>
      <c r="S71" s="70">
        <f t="shared" si="30"/>
        <v>-2.4619670008931508E-2</v>
      </c>
      <c r="T71" s="71">
        <f t="shared" ref="T71:T97" si="43">R71-$I$13/12-S71</f>
        <v>-4.9867358532850584E-2</v>
      </c>
      <c r="U71">
        <v>90.06</v>
      </c>
      <c r="V71" s="70">
        <f t="shared" si="31"/>
        <v>-8.883043302306759E-2</v>
      </c>
      <c r="W71" s="70">
        <f t="shared" ref="W71:W97" si="44">V71-$E$7/12</f>
        <v>-9.2163766356400917E-2</v>
      </c>
      <c r="X71" s="70">
        <f t="shared" ref="X71:X97" si="45">$J$17*E71</f>
        <v>-6.3117264670576271E-3</v>
      </c>
      <c r="Y71" s="71">
        <f t="shared" ref="Y71:Y97" si="46">W71-$J$13/12-X71</f>
        <v>-8.9678560789103995E-2</v>
      </c>
      <c r="Z71">
        <v>23.22</v>
      </c>
      <c r="AA71" s="70">
        <f t="shared" si="32"/>
        <v>0.18833162743091103</v>
      </c>
      <c r="AB71" s="70">
        <f t="shared" ref="AB71:AB97" si="47">AA71-$E$7/12</f>
        <v>0.1849982940975777</v>
      </c>
      <c r="AC71" s="70">
        <f t="shared" ref="AC71:AC97" si="48">$K$17*E71</f>
        <v>-1.3500509353194644E-2</v>
      </c>
      <c r="AD71" s="71">
        <f t="shared" ref="AD71:AD97" si="49">AB71-$K$13/12-AC71</f>
        <v>0.16774326334331829</v>
      </c>
      <c r="AE71" s="151">
        <f t="shared" ref="AE71:AE97" si="50">AE70*(1+AF71)</f>
        <v>423.61649667960245</v>
      </c>
      <c r="AF71" s="71">
        <f t="shared" ref="AF71:AF97" si="51">$F$32*E71+$G$32*H71+$H$32*M71+$I$32*R71+$J$32*W71+$K$32*AB71</f>
        <v>5.1293714119205809E-2</v>
      </c>
      <c r="AG71">
        <v>101.71</v>
      </c>
      <c r="AH71" s="70">
        <f t="shared" si="33"/>
        <v>-5.0947093403004629E-2</v>
      </c>
      <c r="AI71" s="70">
        <f t="shared" si="23"/>
        <v>-5.4280426736337963E-2</v>
      </c>
      <c r="AK71" s="204">
        <f t="shared" si="34"/>
        <v>5.8192896803893987E-2</v>
      </c>
    </row>
    <row r="72" spans="2:37">
      <c r="B72" s="209">
        <v>44986</v>
      </c>
      <c r="C72">
        <v>320.76</v>
      </c>
      <c r="D72" s="70">
        <f t="shared" si="24"/>
        <v>9.3214273542142179E-2</v>
      </c>
      <c r="E72" s="71">
        <f t="shared" si="35"/>
        <v>8.9880940208808852E-2</v>
      </c>
      <c r="F72">
        <v>225.46</v>
      </c>
      <c r="G72" s="70">
        <f t="shared" si="26"/>
        <v>2.5097753932890932E-2</v>
      </c>
      <c r="H72" s="70">
        <f t="shared" si="36"/>
        <v>2.1764420599557598E-2</v>
      </c>
      <c r="I72" s="70">
        <f t="shared" si="37"/>
        <v>5.2129650658177408E-2</v>
      </c>
      <c r="J72" s="71">
        <f t="shared" si="38"/>
        <v>-3.2548137522071884E-2</v>
      </c>
      <c r="K72">
        <v>363.41</v>
      </c>
      <c r="L72" s="70">
        <f t="shared" si="28"/>
        <v>2.2854569506600253E-2</v>
      </c>
      <c r="M72" s="70">
        <f t="shared" si="39"/>
        <v>1.9521236173266919E-2</v>
      </c>
      <c r="N72" s="70">
        <f t="shared" si="40"/>
        <v>5.7046851287234031E-2</v>
      </c>
      <c r="O72" s="71">
        <f t="shared" si="41"/>
        <v>-3.9708522577419185E-2</v>
      </c>
      <c r="P72">
        <v>93.02</v>
      </c>
      <c r="Q72" s="70">
        <f t="shared" si="29"/>
        <v>6.833582175261288E-2</v>
      </c>
      <c r="R72" s="70">
        <f t="shared" si="42"/>
        <v>6.5002488419279553E-2</v>
      </c>
      <c r="S72" s="70">
        <f t="shared" ref="S72:S97" si="52">$G$17*O72</f>
        <v>-2.3030371125449589E-2</v>
      </c>
      <c r="T72" s="71">
        <f t="shared" si="43"/>
        <v>7.7916584804305911E-2</v>
      </c>
      <c r="U72">
        <v>103.73</v>
      </c>
      <c r="V72" s="70">
        <f t="shared" si="31"/>
        <v>0.15178769709082829</v>
      </c>
      <c r="W72" s="70">
        <f t="shared" si="44"/>
        <v>0.14845436375749496</v>
      </c>
      <c r="X72" s="70">
        <f t="shared" si="45"/>
        <v>8.2227697848763853E-2</v>
      </c>
      <c r="Y72" s="71">
        <f t="shared" si="46"/>
        <v>6.2400145008970398E-2</v>
      </c>
      <c r="Z72">
        <v>27.78</v>
      </c>
      <c r="AA72" s="70">
        <f t="shared" si="32"/>
        <v>0.19638242894056868</v>
      </c>
      <c r="AB72" s="70">
        <f t="shared" si="47"/>
        <v>0.19304909560723535</v>
      </c>
      <c r="AC72" s="70">
        <f t="shared" si="48"/>
        <v>0.1758814818247991</v>
      </c>
      <c r="AD72" s="71">
        <f t="shared" si="49"/>
        <v>-1.3587926325017791E-2</v>
      </c>
      <c r="AE72" s="151">
        <f t="shared" si="50"/>
        <v>483.22934285349686</v>
      </c>
      <c r="AF72" s="71">
        <f t="shared" si="51"/>
        <v>0.14072361827538049</v>
      </c>
      <c r="AG72">
        <v>106.37</v>
      </c>
      <c r="AH72" s="70">
        <f t="shared" si="33"/>
        <v>4.5816537213646757E-2</v>
      </c>
      <c r="AI72" s="70">
        <f t="shared" si="23"/>
        <v>4.2483203880313423E-2</v>
      </c>
      <c r="AK72" s="204">
        <f t="shared" si="34"/>
        <v>5.0842678066571639E-2</v>
      </c>
    </row>
    <row r="73" spans="2:37">
      <c r="B73" s="209">
        <v>45017</v>
      </c>
      <c r="C73">
        <v>322.39</v>
      </c>
      <c r="D73" s="70">
        <f t="shared" si="24"/>
        <v>5.0816810076068641E-3</v>
      </c>
      <c r="E73" s="71">
        <f t="shared" si="35"/>
        <v>1.7483476742735306E-3</v>
      </c>
      <c r="F73">
        <v>232.73</v>
      </c>
      <c r="G73" s="70">
        <f t="shared" si="26"/>
        <v>3.2245187616428472E-2</v>
      </c>
      <c r="H73" s="70">
        <f t="shared" si="36"/>
        <v>2.8911854283095138E-2</v>
      </c>
      <c r="I73" s="70">
        <f t="shared" si="37"/>
        <v>1.0140164675311637E-3</v>
      </c>
      <c r="J73" s="71">
        <f t="shared" si="38"/>
        <v>2.5714930352111903E-2</v>
      </c>
      <c r="K73">
        <v>380.03</v>
      </c>
      <c r="L73" s="70">
        <f t="shared" si="28"/>
        <v>4.5733469084505041E-2</v>
      </c>
      <c r="M73" s="70">
        <f t="shared" si="39"/>
        <v>4.2400135751171707E-2</v>
      </c>
      <c r="N73" s="70">
        <f t="shared" si="40"/>
        <v>1.1096649583432897E-3</v>
      </c>
      <c r="O73" s="71">
        <f t="shared" si="41"/>
        <v>3.9107563329376344E-2</v>
      </c>
      <c r="P73">
        <v>84.3</v>
      </c>
      <c r="Q73" s="70">
        <f t="shared" si="29"/>
        <v>-9.3743281014835533E-2</v>
      </c>
      <c r="R73" s="70">
        <f t="shared" si="42"/>
        <v>-9.707661434816886E-2</v>
      </c>
      <c r="S73" s="70">
        <f t="shared" si="52"/>
        <v>2.2681823417921226E-2</v>
      </c>
      <c r="T73" s="71">
        <f t="shared" si="43"/>
        <v>-0.12987471250651333</v>
      </c>
      <c r="U73">
        <v>107.34</v>
      </c>
      <c r="V73" s="70">
        <f t="shared" si="31"/>
        <v>3.4801889520871487E-2</v>
      </c>
      <c r="W73" s="70">
        <f t="shared" si="44"/>
        <v>3.1468556187538153E-2</v>
      </c>
      <c r="X73" s="70">
        <f t="shared" si="45"/>
        <v>1.5994781981671271E-3</v>
      </c>
      <c r="Y73" s="71">
        <f t="shared" si="46"/>
        <v>2.6042557089610313E-2</v>
      </c>
      <c r="Z73">
        <v>27.75</v>
      </c>
      <c r="AA73" s="70">
        <f t="shared" si="32"/>
        <v>-1.0799136069115089E-3</v>
      </c>
      <c r="AB73" s="70">
        <f t="shared" si="47"/>
        <v>-4.4132469402448429E-3</v>
      </c>
      <c r="AC73" s="70">
        <f t="shared" si="48"/>
        <v>3.4212145420574138E-3</v>
      </c>
      <c r="AD73" s="71">
        <f t="shared" si="49"/>
        <v>-3.8590001589756291E-2</v>
      </c>
      <c r="AE73" s="151">
        <f t="shared" si="50"/>
        <v>481.51843511048531</v>
      </c>
      <c r="AF73" s="71">
        <f t="shared" si="51"/>
        <v>-3.5405708869178285E-3</v>
      </c>
      <c r="AG73">
        <v>106.46</v>
      </c>
      <c r="AH73" s="70">
        <f t="shared" si="33"/>
        <v>8.4610322459321985E-4</v>
      </c>
      <c r="AI73" s="70">
        <f t="shared" si="23"/>
        <v>-2.4872301087401137E-3</v>
      </c>
      <c r="AK73" s="204">
        <f t="shared" si="34"/>
        <v>-5.2889185611913591E-3</v>
      </c>
    </row>
    <row r="74" spans="2:37">
      <c r="B74" s="209">
        <v>45047</v>
      </c>
      <c r="C74">
        <v>347.81</v>
      </c>
      <c r="D74" s="70">
        <f t="shared" si="24"/>
        <v>7.8848599522317819E-2</v>
      </c>
      <c r="E74" s="71">
        <f t="shared" si="35"/>
        <v>7.5515266188984492E-2</v>
      </c>
      <c r="F74">
        <v>221.03</v>
      </c>
      <c r="G74" s="70">
        <f t="shared" si="26"/>
        <v>-5.0272848365058187E-2</v>
      </c>
      <c r="H74" s="70">
        <f t="shared" si="36"/>
        <v>-5.3606181698391521E-2</v>
      </c>
      <c r="I74" s="70">
        <f t="shared" si="37"/>
        <v>4.3797766652703858E-2</v>
      </c>
      <c r="J74" s="71">
        <f t="shared" si="38"/>
        <v>-9.9586855814547459E-2</v>
      </c>
      <c r="K74">
        <v>365.02</v>
      </c>
      <c r="L74" s="70">
        <f t="shared" si="28"/>
        <v>-3.9496881825119012E-2</v>
      </c>
      <c r="M74" s="70">
        <f t="shared" si="39"/>
        <v>-4.2830215158452346E-2</v>
      </c>
      <c r="N74" s="70">
        <f t="shared" si="40"/>
        <v>4.7929050922151911E-2</v>
      </c>
      <c r="O74" s="71">
        <f t="shared" si="41"/>
        <v>-9.2942173544056331E-2</v>
      </c>
      <c r="P74">
        <v>98.59</v>
      </c>
      <c r="Q74" s="70">
        <f t="shared" si="29"/>
        <v>0.16951364175563466</v>
      </c>
      <c r="R74" s="70">
        <f t="shared" si="42"/>
        <v>0.16618030842230133</v>
      </c>
      <c r="S74" s="70">
        <f t="shared" si="52"/>
        <v>-5.3905121898007391E-2</v>
      </c>
      <c r="T74" s="71">
        <f t="shared" si="43"/>
        <v>0.20996915557988549</v>
      </c>
      <c r="U74">
        <v>122.87</v>
      </c>
      <c r="V74" s="70">
        <f t="shared" si="31"/>
        <v>0.14468045463014723</v>
      </c>
      <c r="W74" s="70">
        <f t="shared" si="44"/>
        <v>0.1413471212968139</v>
      </c>
      <c r="X74" s="70">
        <f t="shared" si="45"/>
        <v>6.9085241840274259E-2</v>
      </c>
      <c r="Y74" s="71">
        <f t="shared" si="46"/>
        <v>6.843535855677893E-2</v>
      </c>
      <c r="Z74">
        <v>37.83</v>
      </c>
      <c r="AA74" s="70">
        <f t="shared" si="32"/>
        <v>0.36324324324324309</v>
      </c>
      <c r="AB74" s="70">
        <f t="shared" si="47"/>
        <v>0.35990990990990973</v>
      </c>
      <c r="AC74" s="70">
        <f t="shared" si="48"/>
        <v>0.14777033803670708</v>
      </c>
      <c r="AD74" s="71">
        <f t="shared" si="49"/>
        <v>0.18138403176574863</v>
      </c>
      <c r="AE74" s="151">
        <f t="shared" si="50"/>
        <v>589.46596342205078</v>
      </c>
      <c r="AF74" s="71">
        <f t="shared" si="51"/>
        <v>0.22418150675123516</v>
      </c>
      <c r="AG74">
        <v>102.99</v>
      </c>
      <c r="AH74" s="70">
        <f t="shared" si="33"/>
        <v>-3.2594401653203042E-2</v>
      </c>
      <c r="AI74" s="70">
        <f t="shared" si="23"/>
        <v>-3.5927734986536376E-2</v>
      </c>
      <c r="AK74" s="204">
        <f t="shared" si="34"/>
        <v>0.14866624056225067</v>
      </c>
    </row>
    <row r="75" spans="2:37">
      <c r="B75" s="209">
        <v>45078</v>
      </c>
      <c r="C75">
        <v>369.23</v>
      </c>
      <c r="D75" s="70">
        <f t="shared" si="24"/>
        <v>6.1585348322359845E-2</v>
      </c>
      <c r="E75" s="71">
        <f t="shared" si="35"/>
        <v>5.8252014989026511E-2</v>
      </c>
      <c r="F75">
        <v>237.48</v>
      </c>
      <c r="G75" s="70">
        <f t="shared" si="26"/>
        <v>7.4424286295977859E-2</v>
      </c>
      <c r="H75" s="70">
        <f t="shared" si="36"/>
        <v>7.1090952962644532E-2</v>
      </c>
      <c r="I75" s="70">
        <f t="shared" si="37"/>
        <v>3.3785329620030564E-2</v>
      </c>
      <c r="J75" s="71">
        <f t="shared" si="38"/>
        <v>3.5122715879161902E-2</v>
      </c>
      <c r="K75">
        <v>393.3</v>
      </c>
      <c r="L75" s="70">
        <f t="shared" si="28"/>
        <v>7.7475206837981592E-2</v>
      </c>
      <c r="M75" s="70">
        <f t="shared" si="39"/>
        <v>7.4141873504648265E-2</v>
      </c>
      <c r="N75" s="70">
        <f t="shared" si="40"/>
        <v>3.6972177066023175E-2</v>
      </c>
      <c r="O75" s="71">
        <f t="shared" si="41"/>
        <v>3.4986788975173023E-2</v>
      </c>
      <c r="P75">
        <v>100.92</v>
      </c>
      <c r="Q75" s="70">
        <f t="shared" si="29"/>
        <v>2.3633228522162542E-2</v>
      </c>
      <c r="R75" s="70">
        <f t="shared" si="42"/>
        <v>2.0299895188829208E-2</v>
      </c>
      <c r="S75" s="70">
        <f t="shared" si="52"/>
        <v>2.0291833648936337E-2</v>
      </c>
      <c r="T75" s="71">
        <f t="shared" si="43"/>
        <v>-1.010821320053037E-2</v>
      </c>
      <c r="U75">
        <v>119.7</v>
      </c>
      <c r="V75" s="70">
        <f t="shared" si="31"/>
        <v>-2.5799625620574584E-2</v>
      </c>
      <c r="W75" s="70">
        <f t="shared" si="44"/>
        <v>-2.9132958953907918E-2</v>
      </c>
      <c r="X75" s="70">
        <f t="shared" si="45"/>
        <v>5.3291933489697678E-2</v>
      </c>
      <c r="Y75" s="71">
        <f t="shared" si="46"/>
        <v>-8.6251413343366307E-2</v>
      </c>
      <c r="Z75">
        <v>42.3</v>
      </c>
      <c r="AA75" s="70">
        <f t="shared" si="32"/>
        <v>0.1181601903251388</v>
      </c>
      <c r="AB75" s="70">
        <f t="shared" si="47"/>
        <v>0.11482685699180548</v>
      </c>
      <c r="AC75" s="70">
        <f t="shared" si="48"/>
        <v>0.11398913598087038</v>
      </c>
      <c r="AD75" s="71">
        <f t="shared" si="49"/>
        <v>-2.9917819096518944E-2</v>
      </c>
      <c r="AE75" s="151">
        <f t="shared" si="50"/>
        <v>625.37472972603348</v>
      </c>
      <c r="AF75" s="71">
        <f t="shared" si="51"/>
        <v>6.091745500540878E-2</v>
      </c>
      <c r="AG75">
        <v>102.94</v>
      </c>
      <c r="AH75" s="70">
        <f t="shared" si="33"/>
        <v>-4.8548402757542242E-4</v>
      </c>
      <c r="AI75" s="70">
        <f t="shared" si="23"/>
        <v>-3.818817360908756E-3</v>
      </c>
      <c r="AK75" s="204">
        <f t="shared" si="34"/>
        <v>2.6654400163822686E-3</v>
      </c>
    </row>
    <row r="76" spans="2:37">
      <c r="B76" s="209">
        <v>45108</v>
      </c>
      <c r="C76">
        <v>383.48</v>
      </c>
      <c r="D76" s="70">
        <f t="shared" si="24"/>
        <v>3.8593830403813367E-2</v>
      </c>
      <c r="E76" s="71">
        <f t="shared" si="35"/>
        <v>3.5260497070480033E-2</v>
      </c>
      <c r="F76">
        <v>237.73</v>
      </c>
      <c r="G76" s="70">
        <f t="shared" si="26"/>
        <v>1.0527202290719906E-3</v>
      </c>
      <c r="H76" s="70">
        <f t="shared" si="36"/>
        <v>-2.280613104261343E-3</v>
      </c>
      <c r="I76" s="70">
        <f t="shared" si="37"/>
        <v>2.0450580401668583E-2</v>
      </c>
      <c r="J76" s="71">
        <f t="shared" si="38"/>
        <v>-2.4914100969382E-2</v>
      </c>
      <c r="K76">
        <v>394.28</v>
      </c>
      <c r="L76" s="70">
        <f t="shared" si="28"/>
        <v>2.4917365878462938E-3</v>
      </c>
      <c r="M76" s="70">
        <f t="shared" si="39"/>
        <v>-8.4159674548703973E-4</v>
      </c>
      <c r="N76" s="70">
        <f t="shared" si="40"/>
        <v>2.237960938126109E-2</v>
      </c>
      <c r="O76" s="71">
        <f t="shared" si="41"/>
        <v>-2.54041135902002E-2</v>
      </c>
      <c r="P76">
        <v>99.15</v>
      </c>
      <c r="Q76" s="70">
        <f t="shared" si="29"/>
        <v>-1.7538644470867948E-2</v>
      </c>
      <c r="R76" s="70">
        <f t="shared" si="42"/>
        <v>-2.0871977804201282E-2</v>
      </c>
      <c r="S76" s="70">
        <f t="shared" si="52"/>
        <v>-1.4734019956413448E-2</v>
      </c>
      <c r="T76" s="71">
        <f t="shared" si="43"/>
        <v>-1.6254232588211071E-2</v>
      </c>
      <c r="U76">
        <v>132.72</v>
      </c>
      <c r="V76" s="70">
        <f t="shared" si="31"/>
        <v>0.1087719298245613</v>
      </c>
      <c r="W76" s="70">
        <f t="shared" si="44"/>
        <v>0.10543859649122797</v>
      </c>
      <c r="X76" s="70">
        <f t="shared" si="45"/>
        <v>3.2258112703014409E-2</v>
      </c>
      <c r="Y76" s="71">
        <f t="shared" si="46"/>
        <v>6.9353962888452858E-2</v>
      </c>
      <c r="Z76">
        <v>46.73</v>
      </c>
      <c r="AA76" s="70">
        <f t="shared" si="32"/>
        <v>0.10472813238770695</v>
      </c>
      <c r="AB76" s="70">
        <f t="shared" si="47"/>
        <v>0.10139479905437362</v>
      </c>
      <c r="AC76" s="70">
        <f t="shared" si="48"/>
        <v>6.8998704955994847E-2</v>
      </c>
      <c r="AD76" s="71">
        <f t="shared" si="49"/>
        <v>1.6405539909247341E-3</v>
      </c>
      <c r="AE76" s="151">
        <f t="shared" si="50"/>
        <v>669.79973444510017</v>
      </c>
      <c r="AF76" s="71">
        <f t="shared" si="51"/>
        <v>7.1037415820316988E-2</v>
      </c>
      <c r="AG76">
        <v>100.05</v>
      </c>
      <c r="AH76" s="70">
        <f t="shared" si="33"/>
        <v>-2.807460656693217E-2</v>
      </c>
      <c r="AI76" s="70">
        <f t="shared" si="23"/>
        <v>-3.1407939900265504E-2</v>
      </c>
      <c r="AK76" s="204">
        <f t="shared" si="34"/>
        <v>3.5776918749836954E-2</v>
      </c>
    </row>
    <row r="77" spans="2:37">
      <c r="B77" s="209">
        <v>45139</v>
      </c>
      <c r="C77">
        <v>377.79</v>
      </c>
      <c r="D77" s="70">
        <f t="shared" si="24"/>
        <v>-1.4837801189110267E-2</v>
      </c>
      <c r="E77" s="71">
        <f t="shared" si="35"/>
        <v>-1.8171134522443601E-2</v>
      </c>
      <c r="F77">
        <v>245.68</v>
      </c>
      <c r="G77" s="70">
        <f t="shared" si="26"/>
        <v>3.3441298952593401E-2</v>
      </c>
      <c r="H77" s="70">
        <f t="shared" si="36"/>
        <v>3.0107965619260067E-2</v>
      </c>
      <c r="I77" s="70">
        <f t="shared" si="37"/>
        <v>-1.0538996282383079E-2</v>
      </c>
      <c r="J77" s="71">
        <f t="shared" si="38"/>
        <v>3.8464054438191071E-2</v>
      </c>
      <c r="K77">
        <v>412.64</v>
      </c>
      <c r="L77" s="70">
        <f t="shared" si="28"/>
        <v>4.6565892259308184E-2</v>
      </c>
      <c r="M77" s="70">
        <f t="shared" si="39"/>
        <v>4.323255892597485E-2</v>
      </c>
      <c r="N77" s="70">
        <f t="shared" si="40"/>
        <v>-1.1533101527575822E-2</v>
      </c>
      <c r="O77" s="71">
        <f t="shared" si="41"/>
        <v>5.2582752990098597E-2</v>
      </c>
      <c r="P77">
        <v>93.57</v>
      </c>
      <c r="Q77" s="70">
        <f t="shared" si="29"/>
        <v>-5.6278366111951694E-2</v>
      </c>
      <c r="R77" s="70">
        <f t="shared" si="42"/>
        <v>-5.9611699445285028E-2</v>
      </c>
      <c r="S77" s="70">
        <f t="shared" si="52"/>
        <v>3.0497239321829298E-2</v>
      </c>
      <c r="T77" s="71">
        <f t="shared" si="43"/>
        <v>-0.10022521350753756</v>
      </c>
      <c r="U77">
        <v>136.16999999999999</v>
      </c>
      <c r="V77" s="70">
        <f t="shared" si="31"/>
        <v>2.5994575045207968E-2</v>
      </c>
      <c r="W77" s="70">
        <f t="shared" si="44"/>
        <v>2.2661241711874634E-2</v>
      </c>
      <c r="X77" s="70">
        <f t="shared" si="45"/>
        <v>-1.6623886617224068E-2</v>
      </c>
      <c r="Y77" s="71">
        <f t="shared" si="46"/>
        <v>3.5458607429337985E-2</v>
      </c>
      <c r="Z77">
        <v>49.35</v>
      </c>
      <c r="AA77" s="70">
        <f t="shared" si="32"/>
        <v>5.6066766531136514E-2</v>
      </c>
      <c r="AB77" s="70">
        <f t="shared" si="47"/>
        <v>5.273343319780318E-2</v>
      </c>
      <c r="AC77" s="70">
        <f t="shared" si="48"/>
        <v>-3.5557772969668167E-2</v>
      </c>
      <c r="AD77" s="71">
        <f t="shared" si="49"/>
        <v>5.753566606001731E-2</v>
      </c>
      <c r="AE77" s="151">
        <f t="shared" si="50"/>
        <v>688.06773295278322</v>
      </c>
      <c r="AF77" s="71">
        <f t="shared" si="51"/>
        <v>2.727382166375044E-2</v>
      </c>
      <c r="AG77">
        <v>96.64</v>
      </c>
      <c r="AH77" s="70">
        <f t="shared" si="33"/>
        <v>-3.4082958520739615E-2</v>
      </c>
      <c r="AI77" s="70">
        <f t="shared" si="23"/>
        <v>-3.7416291854072949E-2</v>
      </c>
      <c r="AK77" s="204">
        <f t="shared" si="34"/>
        <v>4.5444956186194041E-2</v>
      </c>
    </row>
    <row r="78" spans="2:37">
      <c r="B78" s="209">
        <v>45170</v>
      </c>
      <c r="C78">
        <v>358.08</v>
      </c>
      <c r="D78" s="70">
        <f t="shared" si="24"/>
        <v>-5.2171841499245697E-2</v>
      </c>
      <c r="E78" s="71">
        <f t="shared" si="35"/>
        <v>-5.5505174832579031E-2</v>
      </c>
      <c r="F78">
        <v>230.01</v>
      </c>
      <c r="G78" s="70">
        <f t="shared" si="26"/>
        <v>-6.3782155649625638E-2</v>
      </c>
      <c r="H78" s="70">
        <f t="shared" si="36"/>
        <v>-6.7115488982958965E-2</v>
      </c>
      <c r="I78" s="70">
        <f t="shared" si="37"/>
        <v>-3.2192201895322736E-2</v>
      </c>
      <c r="J78" s="71">
        <f t="shared" si="38"/>
        <v>-3.7106194551088295E-2</v>
      </c>
      <c r="K78">
        <v>395.91</v>
      </c>
      <c r="L78" s="70">
        <f t="shared" si="28"/>
        <v>-4.0543815432337982E-2</v>
      </c>
      <c r="M78" s="70">
        <f t="shared" si="39"/>
        <v>-4.3877148765671316E-2</v>
      </c>
      <c r="N78" s="70">
        <f t="shared" si="40"/>
        <v>-3.522877538875295E-2</v>
      </c>
      <c r="O78" s="71">
        <f t="shared" si="41"/>
        <v>-1.0831280840370439E-2</v>
      </c>
      <c r="P78">
        <v>86.9</v>
      </c>
      <c r="Q78" s="70">
        <f t="shared" si="29"/>
        <v>-7.1283531046275384E-2</v>
      </c>
      <c r="R78" s="70">
        <f t="shared" si="42"/>
        <v>-7.4616864379608711E-2</v>
      </c>
      <c r="S78" s="70">
        <f t="shared" si="52"/>
        <v>-6.2819868714922957E-3</v>
      </c>
      <c r="T78" s="71">
        <f t="shared" si="43"/>
        <v>-7.8451152248539657E-2</v>
      </c>
      <c r="U78">
        <v>130.86000000000001</v>
      </c>
      <c r="V78" s="70">
        <f t="shared" si="31"/>
        <v>-3.8995373430270819E-2</v>
      </c>
      <c r="W78" s="70">
        <f t="shared" si="44"/>
        <v>-4.2328706763604153E-2</v>
      </c>
      <c r="X78" s="70">
        <f t="shared" si="45"/>
        <v>-5.0778983114473646E-2</v>
      </c>
      <c r="Y78" s="71">
        <f t="shared" si="46"/>
        <v>4.6237554511087756E-3</v>
      </c>
      <c r="Z78">
        <v>43.5</v>
      </c>
      <c r="AA78" s="70">
        <f t="shared" si="32"/>
        <v>-0.1185410334346505</v>
      </c>
      <c r="AB78" s="70">
        <f t="shared" si="47"/>
        <v>-0.12187436676798383</v>
      </c>
      <c r="AC78" s="70">
        <f t="shared" si="48"/>
        <v>-0.10861404404336417</v>
      </c>
      <c r="AD78" s="71">
        <f t="shared" si="49"/>
        <v>-4.4015862832073704E-2</v>
      </c>
      <c r="AE78" s="151">
        <f t="shared" si="50"/>
        <v>628.13443227824223</v>
      </c>
      <c r="AF78" s="71">
        <f t="shared" si="51"/>
        <v>-8.7103780346365678E-2</v>
      </c>
      <c r="AG78">
        <v>88.69</v>
      </c>
      <c r="AH78" s="70">
        <f t="shared" si="33"/>
        <v>-8.2264072847682113E-2</v>
      </c>
      <c r="AI78" s="70">
        <f t="shared" si="23"/>
        <v>-8.559740618101544E-2</v>
      </c>
      <c r="AK78" s="204">
        <f t="shared" si="34"/>
        <v>-3.1598605513786647E-2</v>
      </c>
    </row>
    <row r="79" spans="2:37">
      <c r="B79" s="209">
        <v>45200</v>
      </c>
      <c r="C79">
        <v>350.69</v>
      </c>
      <c r="D79" s="70">
        <f t="shared" si="24"/>
        <v>-2.0637846291331474E-2</v>
      </c>
      <c r="E79" s="71">
        <f t="shared" si="35"/>
        <v>-2.3971179624664808E-2</v>
      </c>
      <c r="F79">
        <v>235.1</v>
      </c>
      <c r="G79" s="70">
        <f t="shared" si="26"/>
        <v>2.2129472631624791E-2</v>
      </c>
      <c r="H79" s="70">
        <f t="shared" si="36"/>
        <v>1.8796139298291457E-2</v>
      </c>
      <c r="I79" s="70">
        <f t="shared" si="37"/>
        <v>-1.3902938896668637E-2</v>
      </c>
      <c r="J79" s="71">
        <f t="shared" si="38"/>
        <v>3.0516170731508023E-2</v>
      </c>
      <c r="K79">
        <v>376.35</v>
      </c>
      <c r="L79" s="70">
        <f t="shared" si="28"/>
        <v>-4.940516784117599E-2</v>
      </c>
      <c r="M79" s="70">
        <f t="shared" si="39"/>
        <v>-5.2738501174509324E-2</v>
      </c>
      <c r="N79" s="70">
        <f t="shared" si="40"/>
        <v>-1.5214352631947732E-2</v>
      </c>
      <c r="O79" s="71">
        <f t="shared" si="41"/>
        <v>-3.9707056006013666E-2</v>
      </c>
      <c r="P79">
        <v>86.31</v>
      </c>
      <c r="Q79" s="70">
        <f t="shared" si="29"/>
        <v>-6.7894131185270989E-3</v>
      </c>
      <c r="R79" s="70">
        <f t="shared" si="42"/>
        <v>-1.0122746451860433E-2</v>
      </c>
      <c r="S79" s="70">
        <f t="shared" si="52"/>
        <v>-2.3029520535159175E-2</v>
      </c>
      <c r="T79" s="71">
        <f t="shared" si="43"/>
        <v>2.7904993428755041E-3</v>
      </c>
      <c r="U79">
        <v>124.08</v>
      </c>
      <c r="V79" s="70">
        <f t="shared" si="31"/>
        <v>-5.1811095827602127E-2</v>
      </c>
      <c r="W79" s="70">
        <f t="shared" si="44"/>
        <v>-5.5144429160935461E-2</v>
      </c>
      <c r="X79" s="70">
        <f t="shared" si="45"/>
        <v>-2.1930065603187845E-2</v>
      </c>
      <c r="Y79" s="71">
        <f t="shared" si="46"/>
        <v>-3.7040884457508333E-2</v>
      </c>
      <c r="Z79">
        <v>40.78</v>
      </c>
      <c r="AA79" s="70">
        <f t="shared" si="32"/>
        <v>-6.2528735632183863E-2</v>
      </c>
      <c r="AB79" s="70">
        <f t="shared" si="47"/>
        <v>-6.586206896551719E-2</v>
      </c>
      <c r="AC79" s="70">
        <f t="shared" si="48"/>
        <v>-4.6907459842762941E-2</v>
      </c>
      <c r="AD79" s="71">
        <f t="shared" si="49"/>
        <v>-4.9710149230208292E-2</v>
      </c>
      <c r="AE79" s="151">
        <f t="shared" si="50"/>
        <v>597.81148182891343</v>
      </c>
      <c r="AF79" s="71">
        <f t="shared" si="51"/>
        <v>-4.8274619080102762E-2</v>
      </c>
      <c r="AG79">
        <v>83.58</v>
      </c>
      <c r="AH79" s="70">
        <f t="shared" si="33"/>
        <v>-5.761641673243878E-2</v>
      </c>
      <c r="AI79" s="70">
        <f t="shared" si="23"/>
        <v>-6.0949750065772114E-2</v>
      </c>
      <c r="AK79" s="204">
        <f t="shared" si="34"/>
        <v>-2.4303439455437954E-2</v>
      </c>
    </row>
    <row r="80" spans="2:37">
      <c r="B80" s="209">
        <v>45231</v>
      </c>
      <c r="C80">
        <v>388.63</v>
      </c>
      <c r="D80" s="70">
        <f t="shared" si="24"/>
        <v>0.10818671761384691</v>
      </c>
      <c r="E80" s="71">
        <f t="shared" si="35"/>
        <v>0.10485338428051358</v>
      </c>
      <c r="F80">
        <v>256.68</v>
      </c>
      <c r="G80" s="70">
        <f t="shared" si="26"/>
        <v>9.1790727350063772E-2</v>
      </c>
      <c r="H80" s="70">
        <f t="shared" si="36"/>
        <v>8.8457394016730445E-2</v>
      </c>
      <c r="I80" s="70">
        <f t="shared" si="37"/>
        <v>6.0813452553705113E-2</v>
      </c>
      <c r="J80" s="71">
        <f t="shared" si="38"/>
        <v>2.5461033999573265E-2</v>
      </c>
      <c r="K80">
        <v>413.83</v>
      </c>
      <c r="L80" s="70">
        <f t="shared" si="28"/>
        <v>9.9588149329081777E-2</v>
      </c>
      <c r="M80" s="70">
        <f t="shared" si="39"/>
        <v>9.6254815995748449E-2</v>
      </c>
      <c r="N80" s="70">
        <f t="shared" si="40"/>
        <v>6.6549764678890552E-2</v>
      </c>
      <c r="O80" s="71">
        <f t="shared" si="41"/>
        <v>2.7522143853405831E-2</v>
      </c>
      <c r="P80">
        <v>97.31</v>
      </c>
      <c r="Q80" s="70">
        <f t="shared" si="29"/>
        <v>0.12744757270304707</v>
      </c>
      <c r="R80" s="70">
        <f t="shared" si="42"/>
        <v>0.12411423936971375</v>
      </c>
      <c r="S80" s="70">
        <f t="shared" si="52"/>
        <v>1.5962447000543722E-2</v>
      </c>
      <c r="T80" s="71">
        <f t="shared" si="43"/>
        <v>9.8035517628746779E-2</v>
      </c>
      <c r="U80">
        <v>132.53</v>
      </c>
      <c r="V80" s="70">
        <f t="shared" si="31"/>
        <v>6.8101225016118594E-2</v>
      </c>
      <c r="W80" s="70">
        <f t="shared" si="44"/>
        <v>6.4767891682785267E-2</v>
      </c>
      <c r="X80" s="70">
        <f t="shared" si="45"/>
        <v>9.592525824728082E-2</v>
      </c>
      <c r="Y80" s="71">
        <f t="shared" si="46"/>
        <v>-3.4983887464256264E-2</v>
      </c>
      <c r="Z80">
        <v>46.77</v>
      </c>
      <c r="AA80" s="70">
        <f t="shared" si="32"/>
        <v>0.14688572829818547</v>
      </c>
      <c r="AB80" s="70">
        <f t="shared" si="47"/>
        <v>0.14355239496485214</v>
      </c>
      <c r="AC80" s="70">
        <f t="shared" si="48"/>
        <v>0.20517996984408965</v>
      </c>
      <c r="AD80" s="71">
        <f t="shared" si="49"/>
        <v>-9.238311498669155E-2</v>
      </c>
      <c r="AE80" s="151">
        <f t="shared" si="50"/>
        <v>666.42590818320821</v>
      </c>
      <c r="AF80" s="71">
        <f t="shared" si="51"/>
        <v>0.11477602628905578</v>
      </c>
      <c r="AG80">
        <v>91.56</v>
      </c>
      <c r="AH80" s="70">
        <f t="shared" si="33"/>
        <v>9.5477386934673447E-2</v>
      </c>
      <c r="AI80" s="70">
        <f t="shared" si="23"/>
        <v>9.214405360134012E-2</v>
      </c>
      <c r="AK80" s="204">
        <f t="shared" si="34"/>
        <v>9.922642008542204E-3</v>
      </c>
    </row>
    <row r="81" spans="2:37">
      <c r="B81" s="209">
        <v>45261</v>
      </c>
      <c r="C81">
        <v>409.52</v>
      </c>
      <c r="D81" s="70">
        <f t="shared" si="24"/>
        <v>5.3752926948511304E-2</v>
      </c>
      <c r="E81" s="71">
        <f t="shared" si="35"/>
        <v>5.041959361517797E-2</v>
      </c>
      <c r="F81">
        <v>260.35000000000002</v>
      </c>
      <c r="G81" s="70">
        <f t="shared" si="26"/>
        <v>1.4297958547607958E-2</v>
      </c>
      <c r="H81" s="70">
        <f t="shared" si="36"/>
        <v>1.0964625214274624E-2</v>
      </c>
      <c r="I81" s="70">
        <f t="shared" si="37"/>
        <v>2.9242638042953021E-2</v>
      </c>
      <c r="J81" s="71">
        <f t="shared" si="38"/>
        <v>-2.0460920292130466E-2</v>
      </c>
      <c r="K81">
        <v>426.51</v>
      </c>
      <c r="L81" s="70">
        <f t="shared" si="28"/>
        <v>3.0640601213058449E-2</v>
      </c>
      <c r="M81" s="70">
        <f t="shared" si="39"/>
        <v>2.7307267879725115E-2</v>
      </c>
      <c r="N81" s="70">
        <f t="shared" si="40"/>
        <v>3.2000989890022757E-2</v>
      </c>
      <c r="O81" s="71">
        <f t="shared" si="41"/>
        <v>-6.8766294737497152E-3</v>
      </c>
      <c r="P81">
        <v>104</v>
      </c>
      <c r="Q81" s="70">
        <f t="shared" si="29"/>
        <v>6.8749357722741822E-2</v>
      </c>
      <c r="R81" s="70">
        <f t="shared" si="42"/>
        <v>6.5416024389408495E-2</v>
      </c>
      <c r="S81" s="70">
        <f t="shared" si="52"/>
        <v>-3.9883460424367731E-3</v>
      </c>
      <c r="T81" s="71">
        <f t="shared" si="43"/>
        <v>5.928809569142203E-2</v>
      </c>
      <c r="U81">
        <v>139.69</v>
      </c>
      <c r="V81" s="70">
        <f t="shared" si="31"/>
        <v>5.4025503659548724E-2</v>
      </c>
      <c r="W81" s="70">
        <f t="shared" si="44"/>
        <v>5.069217032621539E-2</v>
      </c>
      <c r="X81" s="70">
        <f t="shared" si="45"/>
        <v>4.6126432365023215E-2</v>
      </c>
      <c r="Y81" s="71">
        <f t="shared" si="46"/>
        <v>7.3921706143145749E-4</v>
      </c>
      <c r="Z81">
        <v>49.52</v>
      </c>
      <c r="AA81" s="70">
        <f t="shared" si="32"/>
        <v>5.8798375026726468E-2</v>
      </c>
      <c r="AB81" s="70">
        <f t="shared" si="47"/>
        <v>5.5465041693393134E-2</v>
      </c>
      <c r="AC81" s="70">
        <f t="shared" si="48"/>
        <v>9.866243963892779E-2</v>
      </c>
      <c r="AD81" s="71">
        <f t="shared" si="49"/>
        <v>-7.3952938052988693E-2</v>
      </c>
      <c r="AE81" s="151">
        <f t="shared" si="50"/>
        <v>700.20520302812724</v>
      </c>
      <c r="AF81" s="71">
        <f t="shared" si="51"/>
        <v>5.0687247344580522E-2</v>
      </c>
      <c r="AG81">
        <v>98.88</v>
      </c>
      <c r="AH81" s="70">
        <f t="shared" si="33"/>
        <v>7.9947575360419298E-2</v>
      </c>
      <c r="AI81" s="70">
        <f t="shared" si="23"/>
        <v>7.6614242027085971E-2</v>
      </c>
      <c r="AK81" s="204">
        <f t="shared" si="34"/>
        <v>2.6765372940255189E-4</v>
      </c>
    </row>
    <row r="82" spans="2:37">
      <c r="B82" s="209">
        <v>45292</v>
      </c>
      <c r="C82">
        <v>416.97</v>
      </c>
      <c r="D82" s="70">
        <f t="shared" si="24"/>
        <v>1.8192029693299583E-2</v>
      </c>
      <c r="E82" s="71">
        <f t="shared" si="35"/>
        <v>1.4858696359966249E-2</v>
      </c>
      <c r="F82">
        <v>273.26</v>
      </c>
      <c r="G82" s="70">
        <f t="shared" si="26"/>
        <v>4.9587094296139611E-2</v>
      </c>
      <c r="H82" s="70">
        <f t="shared" si="36"/>
        <v>4.6253760962806277E-2</v>
      </c>
      <c r="I82" s="70">
        <f t="shared" si="37"/>
        <v>8.6178298611640433E-3</v>
      </c>
      <c r="J82" s="71">
        <f t="shared" si="38"/>
        <v>3.5453023638190161E-2</v>
      </c>
      <c r="K82">
        <v>449.23</v>
      </c>
      <c r="L82" s="70">
        <f t="shared" si="28"/>
        <v>5.3269559916531817E-2</v>
      </c>
      <c r="M82" s="70">
        <f t="shared" si="39"/>
        <v>4.9936226583198483E-2</v>
      </c>
      <c r="N82" s="70">
        <f t="shared" si="40"/>
        <v>9.430718454879786E-3</v>
      </c>
      <c r="O82" s="71">
        <f t="shared" si="41"/>
        <v>3.8322600664866625E-2</v>
      </c>
      <c r="P82">
        <v>112.96</v>
      </c>
      <c r="Q82" s="70">
        <f t="shared" si="29"/>
        <v>8.6153846153846025E-2</v>
      </c>
      <c r="R82" s="70">
        <f t="shared" si="42"/>
        <v>8.2820512820512698E-2</v>
      </c>
      <c r="S82" s="70">
        <f t="shared" si="52"/>
        <v>2.2226556379263865E-2</v>
      </c>
      <c r="T82" s="71">
        <f t="shared" si="43"/>
        <v>5.0477681700825588E-2</v>
      </c>
      <c r="U82">
        <v>140.1</v>
      </c>
      <c r="V82" s="70">
        <f t="shared" si="31"/>
        <v>2.9350705132793475E-3</v>
      </c>
      <c r="W82" s="70">
        <f t="shared" si="44"/>
        <v>-3.9826282005398601E-4</v>
      </c>
      <c r="X82" s="70">
        <f t="shared" si="45"/>
        <v>1.3593498152949772E-2</v>
      </c>
      <c r="Y82" s="71">
        <f t="shared" si="46"/>
        <v>-1.781828187276447E-2</v>
      </c>
      <c r="Z82">
        <v>61.53</v>
      </c>
      <c r="AA82" s="70">
        <f t="shared" si="32"/>
        <v>0.2425282714054926</v>
      </c>
      <c r="AB82" s="70">
        <f t="shared" si="47"/>
        <v>0.23919493807215927</v>
      </c>
      <c r="AC82" s="70">
        <f t="shared" si="48"/>
        <v>2.9075903386238579E-2</v>
      </c>
      <c r="AD82" s="71">
        <f t="shared" si="49"/>
        <v>0.17936349457846665</v>
      </c>
      <c r="AE82" s="151">
        <f t="shared" si="50"/>
        <v>793.47646689393537</v>
      </c>
      <c r="AF82" s="71">
        <f t="shared" si="51"/>
        <v>0.13320561381498519</v>
      </c>
      <c r="AG82">
        <v>96.66</v>
      </c>
      <c r="AH82" s="70">
        <f t="shared" si="33"/>
        <v>-2.2451456310679574E-2</v>
      </c>
      <c r="AI82" s="70">
        <f t="shared" si="23"/>
        <v>-2.5784789644012908E-2</v>
      </c>
      <c r="AK82" s="204">
        <f t="shared" si="34"/>
        <v>0.11834691745501894</v>
      </c>
    </row>
    <row r="83" spans="2:37">
      <c r="B83" s="209">
        <v>45323</v>
      </c>
      <c r="C83">
        <v>439</v>
      </c>
      <c r="D83" s="70">
        <f t="shared" si="24"/>
        <v>5.2833537184929336E-2</v>
      </c>
      <c r="E83" s="71">
        <f t="shared" si="35"/>
        <v>4.9500203851596002E-2</v>
      </c>
      <c r="F83">
        <v>282.64</v>
      </c>
      <c r="G83" s="70">
        <f t="shared" si="26"/>
        <v>3.4326282661201857E-2</v>
      </c>
      <c r="H83" s="70">
        <f t="shared" si="36"/>
        <v>3.0992949327868523E-2</v>
      </c>
      <c r="I83" s="70">
        <f t="shared" si="37"/>
        <v>2.8709405223148417E-2</v>
      </c>
      <c r="J83" s="71">
        <f t="shared" si="38"/>
        <v>1.006366412680329E-4</v>
      </c>
      <c r="K83">
        <v>474.76</v>
      </c>
      <c r="L83" s="70">
        <f t="shared" si="28"/>
        <v>5.6830576764686169E-2</v>
      </c>
      <c r="M83" s="70">
        <f t="shared" si="39"/>
        <v>5.3497243431352835E-2</v>
      </c>
      <c r="N83" s="70">
        <f t="shared" si="40"/>
        <v>3.1417459154849989E-2</v>
      </c>
      <c r="O83" s="71">
        <f t="shared" si="41"/>
        <v>1.9896876813050773E-2</v>
      </c>
      <c r="P83">
        <v>128.66999999999999</v>
      </c>
      <c r="Q83" s="70">
        <f t="shared" si="29"/>
        <v>0.13907577903682711</v>
      </c>
      <c r="R83" s="70">
        <f t="shared" si="42"/>
        <v>0.13574244570349378</v>
      </c>
      <c r="S83" s="70">
        <f t="shared" si="52"/>
        <v>1.1539901953000196E-2</v>
      </c>
      <c r="T83" s="71">
        <f t="shared" si="43"/>
        <v>0.11408626901007035</v>
      </c>
      <c r="U83">
        <v>138.46</v>
      </c>
      <c r="V83" s="70">
        <f t="shared" si="31"/>
        <v>-1.1705924339757257E-2</v>
      </c>
      <c r="W83" s="70">
        <f t="shared" si="44"/>
        <v>-1.5039257673090591E-2</v>
      </c>
      <c r="X83" s="70">
        <f t="shared" si="45"/>
        <v>4.528532741541505E-2</v>
      </c>
      <c r="Y83" s="71">
        <f t="shared" si="46"/>
        <v>-6.4151105988266358E-2</v>
      </c>
      <c r="Z83">
        <v>79.11</v>
      </c>
      <c r="AA83" s="70">
        <f t="shared" si="32"/>
        <v>0.28571428571428559</v>
      </c>
      <c r="AB83" s="70">
        <f t="shared" si="47"/>
        <v>0.28238095238095223</v>
      </c>
      <c r="AC83" s="70">
        <f t="shared" si="48"/>
        <v>9.6863352606485958E-2</v>
      </c>
      <c r="AD83" s="71">
        <f t="shared" si="49"/>
        <v>0.15476205966701226</v>
      </c>
      <c r="AE83" s="151">
        <f t="shared" si="50"/>
        <v>918.08055153090163</v>
      </c>
      <c r="AF83" s="71">
        <f t="shared" si="51"/>
        <v>0.15703563978996007</v>
      </c>
      <c r="AG83">
        <v>94.18</v>
      </c>
      <c r="AH83" s="70">
        <f t="shared" si="33"/>
        <v>-2.5656941858059112E-2</v>
      </c>
      <c r="AI83" s="70">
        <f t="shared" si="23"/>
        <v>-2.8990275191392446E-2</v>
      </c>
      <c r="AK83" s="204">
        <f t="shared" si="34"/>
        <v>0.10753543593836407</v>
      </c>
    </row>
    <row r="84" spans="2:37">
      <c r="B84" s="209">
        <v>45352</v>
      </c>
      <c r="C84">
        <v>444.01</v>
      </c>
      <c r="D84" s="70">
        <f t="shared" si="24"/>
        <v>1.141230068337129E-2</v>
      </c>
      <c r="E84" s="71">
        <f t="shared" si="35"/>
        <v>8.0789673500379564E-3</v>
      </c>
      <c r="F84">
        <v>279.08</v>
      </c>
      <c r="G84" s="70">
        <f t="shared" si="26"/>
        <v>-1.2595527879988633E-2</v>
      </c>
      <c r="H84" s="70">
        <f t="shared" si="36"/>
        <v>-1.5928861213321967E-2</v>
      </c>
      <c r="I84" s="70">
        <f t="shared" si="37"/>
        <v>4.6856846919701494E-3</v>
      </c>
      <c r="J84" s="71">
        <f t="shared" si="38"/>
        <v>-2.279745336874419E-2</v>
      </c>
      <c r="K84">
        <v>481.57</v>
      </c>
      <c r="L84" s="70">
        <f t="shared" si="28"/>
        <v>1.4344089645294433E-2</v>
      </c>
      <c r="M84" s="70">
        <f t="shared" si="39"/>
        <v>1.1010756311961099E-2</v>
      </c>
      <c r="N84" s="70">
        <f t="shared" si="40"/>
        <v>5.1276683121174744E-3</v>
      </c>
      <c r="O84" s="71">
        <f t="shared" si="41"/>
        <v>3.7001805363915535E-3</v>
      </c>
      <c r="P84">
        <v>136.05000000000001</v>
      </c>
      <c r="Q84" s="70">
        <f t="shared" si="29"/>
        <v>5.7356027045931679E-2</v>
      </c>
      <c r="R84" s="70">
        <f t="shared" si="42"/>
        <v>5.4022693712598345E-2</v>
      </c>
      <c r="S84" s="70">
        <f t="shared" si="52"/>
        <v>2.1460514129710332E-3</v>
      </c>
      <c r="T84" s="71">
        <f t="shared" si="43"/>
        <v>4.1760367559204072E-2</v>
      </c>
      <c r="U84">
        <v>150.93</v>
      </c>
      <c r="V84" s="70">
        <f t="shared" si="31"/>
        <v>9.0062111801242128E-2</v>
      </c>
      <c r="W84" s="70">
        <f t="shared" si="44"/>
        <v>8.6728778467908801E-2</v>
      </c>
      <c r="X84" s="70">
        <f t="shared" si="45"/>
        <v>7.3910540393283819E-3</v>
      </c>
      <c r="Y84" s="71">
        <f t="shared" si="46"/>
        <v>7.5511203528819709E-2</v>
      </c>
      <c r="Z84">
        <v>90.36</v>
      </c>
      <c r="AA84" s="70">
        <f t="shared" si="32"/>
        <v>0.14220705346985207</v>
      </c>
      <c r="AB84" s="70">
        <f t="shared" si="47"/>
        <v>0.13887372013651875</v>
      </c>
      <c r="AC84" s="70">
        <f t="shared" si="48"/>
        <v>1.5809144250580345E-2</v>
      </c>
      <c r="AD84" s="71">
        <f t="shared" si="49"/>
        <v>9.2309035778484358E-2</v>
      </c>
      <c r="AE84" s="151">
        <f t="shared" si="50"/>
        <v>1005.1945897101036</v>
      </c>
      <c r="AF84" s="71">
        <f t="shared" si="51"/>
        <v>9.4887140386471835E-2</v>
      </c>
      <c r="AG84">
        <v>94.62</v>
      </c>
      <c r="AH84" s="70">
        <f t="shared" si="33"/>
        <v>4.6719048630281534E-3</v>
      </c>
      <c r="AI84" s="70">
        <f t="shared" si="23"/>
        <v>1.3385715296948199E-3</v>
      </c>
      <c r="AK84" s="204">
        <f t="shared" si="34"/>
        <v>8.6808173036433872E-2</v>
      </c>
    </row>
    <row r="85" spans="2:37">
      <c r="B85" s="209">
        <v>45383</v>
      </c>
      <c r="C85">
        <v>424.59</v>
      </c>
      <c r="D85" s="70">
        <f t="shared" si="24"/>
        <v>-4.3737753654196965E-2</v>
      </c>
      <c r="E85" s="71">
        <f t="shared" si="35"/>
        <v>-4.7071086987530299E-2</v>
      </c>
      <c r="F85">
        <v>268.61</v>
      </c>
      <c r="G85" s="70">
        <f t="shared" si="26"/>
        <v>-3.7516124408771612E-2</v>
      </c>
      <c r="H85" s="70">
        <f t="shared" si="36"/>
        <v>-4.0849457742104946E-2</v>
      </c>
      <c r="I85" s="70">
        <f t="shared" si="37"/>
        <v>-2.7300552431472544E-2</v>
      </c>
      <c r="J85" s="71">
        <f t="shared" si="38"/>
        <v>-1.5731812774084475E-2</v>
      </c>
      <c r="K85">
        <v>451.2</v>
      </c>
      <c r="L85" s="70">
        <f t="shared" si="28"/>
        <v>-6.3064559669414599E-2</v>
      </c>
      <c r="M85" s="70">
        <f t="shared" si="39"/>
        <v>-6.6397893002747926E-2</v>
      </c>
      <c r="N85" s="70">
        <f t="shared" si="40"/>
        <v>-2.9875714395819451E-2</v>
      </c>
      <c r="O85" s="71">
        <f t="shared" si="41"/>
        <v>-3.8705086070380541E-2</v>
      </c>
      <c r="P85">
        <v>137.34</v>
      </c>
      <c r="Q85" s="70">
        <f t="shared" si="29"/>
        <v>9.4818081587650926E-3</v>
      </c>
      <c r="R85" s="70">
        <f t="shared" si="42"/>
        <v>6.1484748254317587E-3</v>
      </c>
      <c r="S85" s="70">
        <f t="shared" si="52"/>
        <v>-2.2448392405066114E-2</v>
      </c>
      <c r="T85" s="71">
        <f t="shared" si="43"/>
        <v>1.8480592490074631E-2</v>
      </c>
      <c r="U85">
        <v>162.78</v>
      </c>
      <c r="V85" s="70">
        <f t="shared" si="31"/>
        <v>7.851321804810163E-2</v>
      </c>
      <c r="W85" s="70">
        <f t="shared" si="44"/>
        <v>7.5179884714768302E-2</v>
      </c>
      <c r="X85" s="70">
        <f t="shared" si="45"/>
        <v>-4.3063046617353759E-2</v>
      </c>
      <c r="Y85" s="71">
        <f t="shared" si="46"/>
        <v>0.11441641043236135</v>
      </c>
      <c r="Z85">
        <v>86.4</v>
      </c>
      <c r="AA85" s="70">
        <f t="shared" si="32"/>
        <v>-4.3824701195219085E-2</v>
      </c>
      <c r="AB85" s="70">
        <f t="shared" si="47"/>
        <v>-4.7158034528552419E-2</v>
      </c>
      <c r="AC85" s="70">
        <f t="shared" si="48"/>
        <v>-9.2109990296468491E-2</v>
      </c>
      <c r="AD85" s="71">
        <f t="shared" si="49"/>
        <v>1.4196415660462036E-2</v>
      </c>
      <c r="AE85" s="151">
        <f t="shared" si="50"/>
        <v>994.35669828778259</v>
      </c>
      <c r="AF85" s="71">
        <f t="shared" si="51"/>
        <v>-1.0781883958852802E-2</v>
      </c>
      <c r="AG85">
        <v>88.22</v>
      </c>
      <c r="AH85" s="70">
        <f t="shared" si="33"/>
        <v>-6.7638976960473496E-2</v>
      </c>
      <c r="AI85" s="70">
        <f t="shared" si="23"/>
        <v>-7.0972310293806823E-2</v>
      </c>
      <c r="AK85" s="204">
        <f t="shared" si="34"/>
        <v>3.6289203028677497E-2</v>
      </c>
    </row>
    <row r="86" spans="2:37">
      <c r="B86" s="209">
        <v>45413</v>
      </c>
      <c r="C86">
        <v>450.71</v>
      </c>
      <c r="D86" s="70">
        <f t="shared" si="24"/>
        <v>6.1518170470336031E-2</v>
      </c>
      <c r="E86" s="71">
        <f t="shared" si="35"/>
        <v>5.8184837137002697E-2</v>
      </c>
      <c r="F86">
        <v>272.45999999999998</v>
      </c>
      <c r="G86" s="70">
        <f t="shared" si="26"/>
        <v>1.4333047913331454E-2</v>
      </c>
      <c r="H86" s="70">
        <f t="shared" si="36"/>
        <v>1.099971457999812E-2</v>
      </c>
      <c r="I86" s="70">
        <f t="shared" si="37"/>
        <v>3.3746367433499888E-2</v>
      </c>
      <c r="J86" s="71">
        <f t="shared" si="38"/>
        <v>-2.4929560316953842E-2</v>
      </c>
      <c r="K86">
        <v>447.07</v>
      </c>
      <c r="L86" s="70">
        <f t="shared" si="28"/>
        <v>-9.1533687943262665E-3</v>
      </c>
      <c r="M86" s="70">
        <f t="shared" si="39"/>
        <v>-1.24867021276596E-2</v>
      </c>
      <c r="N86" s="70">
        <f t="shared" si="40"/>
        <v>3.6929539717934751E-2</v>
      </c>
      <c r="O86" s="71">
        <f t="shared" si="41"/>
        <v>-5.1599149309046424E-2</v>
      </c>
      <c r="P86">
        <v>151.04</v>
      </c>
      <c r="Q86" s="70">
        <f t="shared" si="29"/>
        <v>9.9752439201980403E-2</v>
      </c>
      <c r="R86" s="70">
        <f t="shared" si="42"/>
        <v>9.6419105868647076E-2</v>
      </c>
      <c r="S86" s="70">
        <f t="shared" si="52"/>
        <v>-2.9926763354842009E-2</v>
      </c>
      <c r="T86" s="71">
        <f t="shared" si="43"/>
        <v>0.11622959448306584</v>
      </c>
      <c r="U86">
        <v>172.5</v>
      </c>
      <c r="V86" s="70">
        <f t="shared" si="31"/>
        <v>5.9712495392554299E-2</v>
      </c>
      <c r="W86" s="70">
        <f t="shared" si="44"/>
        <v>5.6379162059220965E-2</v>
      </c>
      <c r="X86" s="70">
        <f t="shared" si="45"/>
        <v>5.3230475742309741E-2</v>
      </c>
      <c r="Y86" s="71">
        <f t="shared" si="46"/>
        <v>-6.7783458284949305E-4</v>
      </c>
      <c r="Z86">
        <v>109.63</v>
      </c>
      <c r="AA86" s="70">
        <f t="shared" si="32"/>
        <v>0.26886574074074066</v>
      </c>
      <c r="AB86" s="70">
        <f t="shared" si="47"/>
        <v>0.2655324074074073</v>
      </c>
      <c r="AC86" s="70">
        <f t="shared" si="48"/>
        <v>0.11385768052287998</v>
      </c>
      <c r="AD86" s="71">
        <f t="shared" si="49"/>
        <v>0.12091918677707328</v>
      </c>
      <c r="AE86" s="151">
        <f t="shared" si="50"/>
        <v>1148.529581131115</v>
      </c>
      <c r="AF86" s="71">
        <f t="shared" si="51"/>
        <v>0.15504786472380377</v>
      </c>
      <c r="AG86">
        <v>90.45</v>
      </c>
      <c r="AH86" s="70">
        <f t="shared" si="33"/>
        <v>2.5277714803899398E-2</v>
      </c>
      <c r="AI86" s="70">
        <f t="shared" si="23"/>
        <v>2.1944381470566064E-2</v>
      </c>
      <c r="AK86" s="204">
        <f t="shared" si="34"/>
        <v>9.686302758680107E-2</v>
      </c>
    </row>
    <row r="87" spans="2:37">
      <c r="B87" s="209">
        <v>45444</v>
      </c>
      <c r="C87">
        <v>479.11</v>
      </c>
      <c r="D87" s="70">
        <f t="shared" si="24"/>
        <v>6.3011692662687802E-2</v>
      </c>
      <c r="E87" s="71">
        <f t="shared" si="35"/>
        <v>5.9678359329354468E-2</v>
      </c>
      <c r="F87">
        <v>262.47000000000003</v>
      </c>
      <c r="G87" s="70">
        <f t="shared" si="26"/>
        <v>-3.666593261396156E-2</v>
      </c>
      <c r="H87" s="70">
        <f t="shared" si="36"/>
        <v>-3.9999265947294894E-2</v>
      </c>
      <c r="I87" s="70">
        <f t="shared" si="37"/>
        <v>3.4612588792073337E-2</v>
      </c>
      <c r="J87" s="71">
        <f t="shared" si="38"/>
        <v>-7.6794762202820305E-2</v>
      </c>
      <c r="K87">
        <v>441.16</v>
      </c>
      <c r="L87" s="70">
        <f t="shared" si="28"/>
        <v>-1.3219406356946295E-2</v>
      </c>
      <c r="M87" s="70">
        <f t="shared" si="39"/>
        <v>-1.6552739690279629E-2</v>
      </c>
      <c r="N87" s="70">
        <f t="shared" si="40"/>
        <v>3.7877468591434947E-2</v>
      </c>
      <c r="O87" s="71">
        <f t="shared" si="41"/>
        <v>-5.6613115745166649E-2</v>
      </c>
      <c r="P87">
        <v>173.81</v>
      </c>
      <c r="Q87" s="70">
        <f t="shared" si="29"/>
        <v>0.15075476694915269</v>
      </c>
      <c r="R87" s="70">
        <f t="shared" si="42"/>
        <v>0.14742143361581936</v>
      </c>
      <c r="S87" s="70">
        <f t="shared" si="52"/>
        <v>-3.2834791665622379E-2</v>
      </c>
      <c r="T87" s="71">
        <f t="shared" si="43"/>
        <v>0.17013995054101849</v>
      </c>
      <c r="U87">
        <v>182.15</v>
      </c>
      <c r="V87" s="70">
        <f t="shared" si="31"/>
        <v>5.5942028985507264E-2</v>
      </c>
      <c r="W87" s="70">
        <f t="shared" si="44"/>
        <v>5.260869565217393E-2</v>
      </c>
      <c r="X87" s="70">
        <f t="shared" si="45"/>
        <v>5.4596826508977493E-2</v>
      </c>
      <c r="Y87" s="71">
        <f t="shared" si="46"/>
        <v>-5.8146517565642805E-3</v>
      </c>
      <c r="Z87">
        <v>123.54</v>
      </c>
      <c r="AA87" s="70">
        <f t="shared" si="32"/>
        <v>0.1268813281036214</v>
      </c>
      <c r="AB87" s="70">
        <f t="shared" si="47"/>
        <v>0.12354799477028808</v>
      </c>
      <c r="AC87" s="70">
        <f t="shared" si="48"/>
        <v>0.11678024559305832</v>
      </c>
      <c r="AD87" s="71">
        <f t="shared" si="49"/>
        <v>-2.3987790930224281E-2</v>
      </c>
      <c r="AE87" s="151">
        <f t="shared" si="50"/>
        <v>1250.8000059601779</v>
      </c>
      <c r="AF87" s="71">
        <f t="shared" si="51"/>
        <v>8.9044658935421572E-2</v>
      </c>
      <c r="AG87">
        <v>91.78</v>
      </c>
      <c r="AH87" s="70">
        <f t="shared" si="33"/>
        <v>1.4704256495301271E-2</v>
      </c>
      <c r="AI87" s="70">
        <f t="shared" si="23"/>
        <v>1.1370923161967937E-2</v>
      </c>
      <c r="AK87" s="204">
        <f t="shared" si="34"/>
        <v>2.9366299606067105E-2</v>
      </c>
    </row>
    <row r="88" spans="2:37">
      <c r="B88" s="209">
        <v>45474</v>
      </c>
      <c r="C88">
        <v>471.07</v>
      </c>
      <c r="D88" s="70">
        <f t="shared" si="24"/>
        <v>-1.6781114984032897E-2</v>
      </c>
      <c r="E88" s="71">
        <f t="shared" si="35"/>
        <v>-2.0114448317366231E-2</v>
      </c>
      <c r="F88">
        <v>265.67</v>
      </c>
      <c r="G88" s="70">
        <f t="shared" si="26"/>
        <v>1.2191869546995804E-2</v>
      </c>
      <c r="H88" s="70">
        <f t="shared" si="36"/>
        <v>8.8585362136624698E-3</v>
      </c>
      <c r="I88" s="70">
        <f t="shared" si="37"/>
        <v>-1.1666090291559957E-2</v>
      </c>
      <c r="J88" s="71">
        <f t="shared" si="38"/>
        <v>1.8341719041770357E-2</v>
      </c>
      <c r="K88">
        <v>463.71</v>
      </c>
      <c r="L88" s="70">
        <f t="shared" si="28"/>
        <v>5.1115241635687703E-2</v>
      </c>
      <c r="M88" s="70">
        <f t="shared" si="39"/>
        <v>4.7781908302354369E-2</v>
      </c>
      <c r="N88" s="70">
        <f t="shared" si="40"/>
        <v>-1.2766510221408296E-2</v>
      </c>
      <c r="O88" s="71">
        <f t="shared" si="41"/>
        <v>5.8365511060310592E-2</v>
      </c>
      <c r="P88">
        <v>165.8</v>
      </c>
      <c r="Q88" s="70">
        <f t="shared" si="29"/>
        <v>-4.6084805247108895E-2</v>
      </c>
      <c r="R88" s="70">
        <f t="shared" si="42"/>
        <v>-4.9418138580442229E-2</v>
      </c>
      <c r="S88" s="70">
        <f t="shared" si="52"/>
        <v>3.3851155706555357E-2</v>
      </c>
      <c r="T88" s="71">
        <f t="shared" si="43"/>
        <v>-9.3385569027420817E-2</v>
      </c>
      <c r="U88">
        <v>171.54</v>
      </c>
      <c r="V88" s="70">
        <f t="shared" si="31"/>
        <v>-5.8248696129563626E-2</v>
      </c>
      <c r="W88" s="70">
        <f t="shared" si="44"/>
        <v>-6.158202946289696E-2</v>
      </c>
      <c r="X88" s="70">
        <f t="shared" si="45"/>
        <v>-1.8401729830512706E-2</v>
      </c>
      <c r="Y88" s="71">
        <f t="shared" si="46"/>
        <v>-4.7006820532144972E-2</v>
      </c>
      <c r="Z88">
        <v>117.02</v>
      </c>
      <c r="AA88" s="70">
        <f t="shared" si="32"/>
        <v>-5.2776428687065002E-2</v>
      </c>
      <c r="AB88" s="70">
        <f t="shared" si="47"/>
        <v>-5.6109762020398336E-2</v>
      </c>
      <c r="AC88" s="70">
        <f t="shared" si="48"/>
        <v>-3.9360502548458978E-2</v>
      </c>
      <c r="AD88" s="71">
        <f t="shared" si="49"/>
        <v>-4.7504799579393395E-2</v>
      </c>
      <c r="AE88" s="151">
        <f t="shared" si="50"/>
        <v>1194.1842998400375</v>
      </c>
      <c r="AF88" s="71">
        <f t="shared" si="51"/>
        <v>-4.5263595978862689E-2</v>
      </c>
      <c r="AG88">
        <v>94.81</v>
      </c>
      <c r="AH88" s="70">
        <f t="shared" si="33"/>
        <v>3.3013728481150695E-2</v>
      </c>
      <c r="AI88" s="70">
        <f t="shared" si="23"/>
        <v>2.9680395147817361E-2</v>
      </c>
      <c r="AK88" s="204">
        <f t="shared" si="34"/>
        <v>-2.5149147661496458E-2</v>
      </c>
    </row>
    <row r="89" spans="2:37">
      <c r="B89" s="209">
        <v>45505</v>
      </c>
      <c r="C89">
        <v>476.27</v>
      </c>
      <c r="D89" s="70">
        <f t="shared" si="24"/>
        <v>1.1038699131763918E-2</v>
      </c>
      <c r="E89" s="71">
        <f t="shared" si="35"/>
        <v>7.7053657984305843E-3</v>
      </c>
      <c r="F89">
        <v>276.37</v>
      </c>
      <c r="G89" s="70">
        <f t="shared" si="26"/>
        <v>4.0275529792599851E-2</v>
      </c>
      <c r="H89" s="70">
        <f t="shared" si="36"/>
        <v>3.6942196459266517E-2</v>
      </c>
      <c r="I89" s="70">
        <f t="shared" si="37"/>
        <v>4.4690011734688975E-3</v>
      </c>
      <c r="J89" s="71">
        <f t="shared" si="38"/>
        <v>3.0290287822345545E-2</v>
      </c>
      <c r="K89">
        <v>483.34</v>
      </c>
      <c r="L89" s="70">
        <f t="shared" si="28"/>
        <v>4.2332492290440227E-2</v>
      </c>
      <c r="M89" s="70">
        <f t="shared" si="39"/>
        <v>3.8999158957106893E-2</v>
      </c>
      <c r="N89" s="70">
        <f t="shared" si="40"/>
        <v>4.8905458242383716E-3</v>
      </c>
      <c r="O89" s="71">
        <f t="shared" si="41"/>
        <v>3.1925705669416451E-2</v>
      </c>
      <c r="P89">
        <v>171.7</v>
      </c>
      <c r="Q89" s="70">
        <f t="shared" si="29"/>
        <v>3.5585042219541396E-2</v>
      </c>
      <c r="R89" s="70">
        <f t="shared" si="42"/>
        <v>3.2251708886208062E-2</v>
      </c>
      <c r="S89" s="70">
        <f t="shared" si="52"/>
        <v>1.8516449424050025E-2</v>
      </c>
      <c r="T89" s="71">
        <f t="shared" si="43"/>
        <v>3.6189847217347991E-3</v>
      </c>
      <c r="U89">
        <v>163.38</v>
      </c>
      <c r="V89" s="70">
        <f t="shared" si="31"/>
        <v>-4.7569080097936367E-2</v>
      </c>
      <c r="W89" s="70">
        <f t="shared" si="44"/>
        <v>-5.0902413431269701E-2</v>
      </c>
      <c r="X89" s="70">
        <f t="shared" si="45"/>
        <v>7.0492641622973721E-3</v>
      </c>
      <c r="Y89" s="71">
        <f t="shared" si="46"/>
        <v>-6.1778198493327788E-2</v>
      </c>
      <c r="Z89">
        <v>119.37</v>
      </c>
      <c r="AA89" s="70">
        <f t="shared" si="32"/>
        <v>2.008203725858837E-2</v>
      </c>
      <c r="AB89" s="70">
        <f t="shared" si="47"/>
        <v>1.6748703925255036E-2</v>
      </c>
      <c r="AC89" s="70">
        <f t="shared" si="48"/>
        <v>1.5078070517305036E-2</v>
      </c>
      <c r="AD89" s="71">
        <f t="shared" si="49"/>
        <v>-2.9084906699504039E-2</v>
      </c>
      <c r="AE89" s="151">
        <f t="shared" si="50"/>
        <v>1200.7364395334357</v>
      </c>
      <c r="AF89" s="71">
        <f t="shared" si="51"/>
        <v>5.4867072815108706E-3</v>
      </c>
      <c r="AG89">
        <v>96.49</v>
      </c>
      <c r="AH89" s="70">
        <f t="shared" si="33"/>
        <v>1.7719649825967743E-2</v>
      </c>
      <c r="AI89" s="70">
        <f t="shared" si="23"/>
        <v>1.4386316492634409E-2</v>
      </c>
      <c r="AK89" s="204">
        <f t="shared" si="34"/>
        <v>-2.2186585169197137E-3</v>
      </c>
    </row>
    <row r="90" spans="2:37">
      <c r="B90" s="209">
        <v>45536</v>
      </c>
      <c r="C90">
        <v>488.07</v>
      </c>
      <c r="D90" s="70">
        <f t="shared" si="24"/>
        <v>2.4775862430973961E-2</v>
      </c>
      <c r="E90" s="71">
        <f t="shared" si="35"/>
        <v>2.1442529097640627E-2</v>
      </c>
      <c r="F90">
        <v>274.95</v>
      </c>
      <c r="G90" s="70">
        <f t="shared" si="26"/>
        <v>-5.1380395846148952E-3</v>
      </c>
      <c r="H90" s="70">
        <f t="shared" si="36"/>
        <v>-8.4713729179482292E-3</v>
      </c>
      <c r="I90" s="70">
        <f t="shared" si="37"/>
        <v>1.2436358014179517E-2</v>
      </c>
      <c r="J90" s="71">
        <f t="shared" si="38"/>
        <v>-2.3090638395579816E-2</v>
      </c>
      <c r="K90">
        <v>493.8</v>
      </c>
      <c r="L90" s="70">
        <f t="shared" si="28"/>
        <v>2.164108081267857E-2</v>
      </c>
      <c r="M90" s="70">
        <f t="shared" si="39"/>
        <v>1.8307747479345236E-2</v>
      </c>
      <c r="N90" s="70">
        <f t="shared" si="40"/>
        <v>1.360943450094673E-2</v>
      </c>
      <c r="O90" s="71">
        <f t="shared" si="41"/>
        <v>2.5154055149464328E-3</v>
      </c>
      <c r="P90">
        <v>173.67</v>
      </c>
      <c r="Q90" s="70">
        <f t="shared" si="29"/>
        <v>1.1473500291205641E-2</v>
      </c>
      <c r="R90" s="70">
        <f t="shared" si="42"/>
        <v>8.1401669578723065E-3</v>
      </c>
      <c r="S90" s="70">
        <f t="shared" si="52"/>
        <v>1.4588989662678135E-3</v>
      </c>
      <c r="T90" s="71">
        <f t="shared" si="43"/>
        <v>-3.4350067488187466E-3</v>
      </c>
      <c r="U90">
        <v>165.85</v>
      </c>
      <c r="V90" s="70">
        <f t="shared" si="31"/>
        <v>1.5118129514016365E-2</v>
      </c>
      <c r="W90" s="70">
        <f t="shared" si="44"/>
        <v>1.1784796180683031E-2</v>
      </c>
      <c r="X90" s="70">
        <f t="shared" si="45"/>
        <v>1.9616726301015259E-2</v>
      </c>
      <c r="Y90" s="71">
        <f t="shared" si="46"/>
        <v>-1.1658451020092941E-2</v>
      </c>
      <c r="Z90">
        <v>121.44</v>
      </c>
      <c r="AA90" s="70">
        <f t="shared" si="32"/>
        <v>1.7341040462427681E-2</v>
      </c>
      <c r="AB90" s="70">
        <f t="shared" si="47"/>
        <v>1.4007707129094348E-2</v>
      </c>
      <c r="AC90" s="70">
        <f t="shared" si="48"/>
        <v>4.1959327339065731E-2</v>
      </c>
      <c r="AD90" s="71">
        <f t="shared" si="49"/>
        <v>-5.8707160317425428E-2</v>
      </c>
      <c r="AE90" s="151">
        <f t="shared" si="50"/>
        <v>1214.2258779085851</v>
      </c>
      <c r="AF90" s="71">
        <f t="shared" si="51"/>
        <v>1.1234304157863879E-2</v>
      </c>
      <c r="AG90">
        <v>98.1</v>
      </c>
      <c r="AH90" s="70">
        <f t="shared" si="33"/>
        <v>1.6685666908487828E-2</v>
      </c>
      <c r="AI90" s="70">
        <f t="shared" si="23"/>
        <v>1.3352333575154494E-2</v>
      </c>
      <c r="AK90" s="204">
        <f t="shared" si="34"/>
        <v>-1.0208224939776748E-2</v>
      </c>
    </row>
    <row r="91" spans="2:37">
      <c r="B91" s="209">
        <v>45566</v>
      </c>
      <c r="C91">
        <v>483.85</v>
      </c>
      <c r="D91" s="70">
        <f t="shared" si="24"/>
        <v>-8.646300735550172E-3</v>
      </c>
      <c r="E91" s="71">
        <f t="shared" si="35"/>
        <v>-1.1979634068883506E-2</v>
      </c>
      <c r="F91">
        <v>289.85000000000002</v>
      </c>
      <c r="G91" s="70">
        <f t="shared" si="26"/>
        <v>5.4191671212947989E-2</v>
      </c>
      <c r="H91" s="70">
        <f t="shared" si="36"/>
        <v>5.0858337879614655E-2</v>
      </c>
      <c r="I91" s="70">
        <f t="shared" si="37"/>
        <v>-6.94801520292167E-3</v>
      </c>
      <c r="J91" s="71">
        <f t="shared" si="38"/>
        <v>5.562344561908425E-2</v>
      </c>
      <c r="K91">
        <v>499.59</v>
      </c>
      <c r="L91" s="70">
        <f t="shared" si="28"/>
        <v>1.172539489671931E-2</v>
      </c>
      <c r="M91" s="70">
        <f t="shared" si="39"/>
        <v>8.392061563385976E-3</v>
      </c>
      <c r="N91" s="70">
        <f t="shared" si="40"/>
        <v>-7.6033962441361125E-3</v>
      </c>
      <c r="O91" s="71">
        <f t="shared" si="41"/>
        <v>1.3812550344070017E-2</v>
      </c>
      <c r="P91">
        <v>190.54</v>
      </c>
      <c r="Q91" s="70">
        <f t="shared" si="29"/>
        <v>9.7138250705360862E-2</v>
      </c>
      <c r="R91" s="70">
        <f t="shared" si="42"/>
        <v>9.3804917372027535E-2</v>
      </c>
      <c r="S91" s="70">
        <f t="shared" si="52"/>
        <v>8.0110802408394233E-3</v>
      </c>
      <c r="T91" s="71">
        <f t="shared" si="43"/>
        <v>7.5677562390764869E-2</v>
      </c>
      <c r="U91">
        <v>171.11</v>
      </c>
      <c r="V91" s="70">
        <f t="shared" si="31"/>
        <v>3.1715405486885784E-2</v>
      </c>
      <c r="W91" s="70">
        <f t="shared" si="44"/>
        <v>2.838207215355245E-2</v>
      </c>
      <c r="X91" s="70">
        <f t="shared" si="45"/>
        <v>-1.0959584181768151E-2</v>
      </c>
      <c r="Y91" s="71">
        <f t="shared" si="46"/>
        <v>3.5515135435559883E-2</v>
      </c>
      <c r="Z91">
        <v>132.76</v>
      </c>
      <c r="AA91" s="70">
        <f t="shared" si="32"/>
        <v>9.3214756258234388E-2</v>
      </c>
      <c r="AB91" s="70">
        <f t="shared" si="47"/>
        <v>8.9881422924901061E-2</v>
      </c>
      <c r="AC91" s="70">
        <f t="shared" si="48"/>
        <v>-2.344207555972563E-2</v>
      </c>
      <c r="AD91" s="71">
        <f t="shared" si="49"/>
        <v>8.2567958377172651E-2</v>
      </c>
      <c r="AE91" s="151">
        <f t="shared" si="50"/>
        <v>1296.4051428763421</v>
      </c>
      <c r="AF91" s="71">
        <f t="shared" si="51"/>
        <v>6.7680376825195621E-2</v>
      </c>
      <c r="AG91">
        <v>92.45</v>
      </c>
      <c r="AH91" s="70">
        <f t="shared" si="33"/>
        <v>-5.7594291539245557E-2</v>
      </c>
      <c r="AI91" s="70">
        <f t="shared" si="23"/>
        <v>-6.0927624872578891E-2</v>
      </c>
      <c r="AK91" s="204">
        <f t="shared" si="34"/>
        <v>7.966001089407912E-2</v>
      </c>
    </row>
    <row r="92" spans="2:37">
      <c r="B92" s="209">
        <v>45597</v>
      </c>
      <c r="C92">
        <v>509.74</v>
      </c>
      <c r="D92" s="70">
        <f t="shared" si="24"/>
        <v>5.350831869381012E-2</v>
      </c>
      <c r="E92" s="71">
        <f t="shared" si="35"/>
        <v>5.0174985360476786E-2</v>
      </c>
      <c r="F92">
        <v>315.08</v>
      </c>
      <c r="G92" s="70">
        <f t="shared" si="26"/>
        <v>8.7045023287907419E-2</v>
      </c>
      <c r="H92" s="70">
        <f t="shared" si="36"/>
        <v>8.3711689954574092E-2</v>
      </c>
      <c r="I92" s="70">
        <f t="shared" si="37"/>
        <v>2.9100768778612267E-2</v>
      </c>
      <c r="J92" s="71">
        <f t="shared" si="38"/>
        <v>5.2428013712509755E-2</v>
      </c>
      <c r="K92">
        <v>532.94000000000005</v>
      </c>
      <c r="L92" s="70">
        <f t="shared" si="28"/>
        <v>6.6754738885886677E-2</v>
      </c>
      <c r="M92" s="70">
        <f t="shared" si="39"/>
        <v>6.342140555255335E-2</v>
      </c>
      <c r="N92" s="70">
        <f t="shared" si="40"/>
        <v>3.1845738613198657E-2</v>
      </c>
      <c r="O92" s="71">
        <f t="shared" si="41"/>
        <v>2.939275947590262E-2</v>
      </c>
      <c r="P92">
        <v>184.66</v>
      </c>
      <c r="Q92" s="70">
        <f t="shared" si="29"/>
        <v>-3.0859662013225542E-2</v>
      </c>
      <c r="R92" s="70">
        <f t="shared" si="42"/>
        <v>-3.4192995346558876E-2</v>
      </c>
      <c r="S92" s="70">
        <f t="shared" si="52"/>
        <v>1.7047377116872542E-2</v>
      </c>
      <c r="T92" s="71">
        <f t="shared" si="43"/>
        <v>-6.1356647203854656E-2</v>
      </c>
      <c r="U92">
        <v>168.95</v>
      </c>
      <c r="V92" s="70">
        <f t="shared" si="31"/>
        <v>-1.2623458593887138E-2</v>
      </c>
      <c r="W92" s="70">
        <f t="shared" si="44"/>
        <v>-1.5956791927220472E-2</v>
      </c>
      <c r="X92" s="70">
        <f t="shared" si="45"/>
        <v>4.590265217745336E-2</v>
      </c>
      <c r="Y92" s="71">
        <f t="shared" si="46"/>
        <v>-6.5685965004434549E-2</v>
      </c>
      <c r="Z92">
        <v>138.25</v>
      </c>
      <c r="AA92" s="70">
        <f t="shared" si="32"/>
        <v>4.1352817113588403E-2</v>
      </c>
      <c r="AB92" s="70">
        <f t="shared" si="47"/>
        <v>3.8019483780255069E-2</v>
      </c>
      <c r="AC92" s="70">
        <f t="shared" si="48"/>
        <v>9.8183783516690146E-2</v>
      </c>
      <c r="AD92" s="71">
        <f t="shared" si="49"/>
        <v>-9.0919839843889114E-2</v>
      </c>
      <c r="AE92" s="151">
        <f t="shared" si="50"/>
        <v>1321.9487644906617</v>
      </c>
      <c r="AF92" s="71">
        <f t="shared" si="51"/>
        <v>1.9703425086424597E-2</v>
      </c>
      <c r="AG92">
        <v>93.97</v>
      </c>
      <c r="AH92" s="70">
        <f t="shared" si="33"/>
        <v>1.6441319632233498E-2</v>
      </c>
      <c r="AI92" s="70">
        <f t="shared" si="23"/>
        <v>1.3107986298900164E-2</v>
      </c>
      <c r="AK92" s="204">
        <f t="shared" si="34"/>
        <v>-3.0471560274052189E-2</v>
      </c>
    </row>
    <row r="93" spans="2:37">
      <c r="B93" s="209">
        <v>45627</v>
      </c>
      <c r="C93">
        <v>511.23</v>
      </c>
      <c r="D93" s="70">
        <f t="shared" si="24"/>
        <v>2.9230588142974412E-3</v>
      </c>
      <c r="E93" s="71">
        <f t="shared" si="35"/>
        <v>-4.1027451903589236E-4</v>
      </c>
      <c r="F93">
        <v>316.04000000000002</v>
      </c>
      <c r="G93" s="70">
        <f t="shared" si="26"/>
        <v>3.046845245652019E-3</v>
      </c>
      <c r="H93" s="70">
        <f t="shared" si="36"/>
        <v>-2.8648808768131457E-4</v>
      </c>
      <c r="I93" s="70">
        <f t="shared" si="37"/>
        <v>-2.3795331136507994E-4</v>
      </c>
      <c r="J93" s="71">
        <f t="shared" si="38"/>
        <v>-2.2314422397683061E-3</v>
      </c>
      <c r="K93">
        <v>526.57000000000005</v>
      </c>
      <c r="L93" s="70">
        <f t="shared" si="28"/>
        <v>-1.1952565016699834E-2</v>
      </c>
      <c r="M93" s="70">
        <f t="shared" si="39"/>
        <v>-1.5285898350033168E-2</v>
      </c>
      <c r="N93" s="70">
        <f t="shared" si="40"/>
        <v>-2.603985830589721E-4</v>
      </c>
      <c r="O93" s="71">
        <f t="shared" si="41"/>
        <v>-1.720840723042627E-2</v>
      </c>
      <c r="P93">
        <v>197.49</v>
      </c>
      <c r="Q93" s="70">
        <f t="shared" si="29"/>
        <v>6.94790425647136E-2</v>
      </c>
      <c r="R93" s="70">
        <f t="shared" si="42"/>
        <v>6.6145709231380273E-2</v>
      </c>
      <c r="S93" s="70">
        <f t="shared" si="52"/>
        <v>-9.9806283203283386E-3</v>
      </c>
      <c r="T93" s="71">
        <f t="shared" si="43"/>
        <v>6.601006281128538E-2</v>
      </c>
      <c r="U93">
        <v>189.3</v>
      </c>
      <c r="V93" s="70">
        <f t="shared" si="31"/>
        <v>0.12044983722994984</v>
      </c>
      <c r="W93" s="70">
        <f t="shared" si="44"/>
        <v>0.11711650389661651</v>
      </c>
      <c r="X93" s="70">
        <f t="shared" si="45"/>
        <v>-3.7534019012213174E-4</v>
      </c>
      <c r="Y93" s="71">
        <f t="shared" si="46"/>
        <v>0.11366532318697793</v>
      </c>
      <c r="Z93">
        <v>134.29</v>
      </c>
      <c r="AA93" s="70">
        <f t="shared" si="32"/>
        <v>-2.8643761301989201E-2</v>
      </c>
      <c r="AB93" s="70">
        <f t="shared" si="47"/>
        <v>-3.1977094635322535E-2</v>
      </c>
      <c r="AC93" s="70">
        <f t="shared" si="48"/>
        <v>-8.0283639885553218E-4</v>
      </c>
      <c r="AD93" s="71">
        <f t="shared" si="49"/>
        <v>-6.1929798343921039E-2</v>
      </c>
      <c r="AE93" s="151">
        <f t="shared" si="50"/>
        <v>1350.120202754847</v>
      </c>
      <c r="AF93" s="71">
        <f t="shared" si="51"/>
        <v>2.1310537156135186E-2</v>
      </c>
      <c r="AG93">
        <v>87.33</v>
      </c>
      <c r="AH93" s="70">
        <f t="shared" si="33"/>
        <v>-7.0660849207193843E-2</v>
      </c>
      <c r="AI93" s="70">
        <f t="shared" si="23"/>
        <v>-7.399418254052717E-2</v>
      </c>
      <c r="AK93" s="204">
        <f t="shared" si="34"/>
        <v>2.1720811675171078E-2</v>
      </c>
    </row>
    <row r="94" spans="2:37">
      <c r="B94" s="209">
        <v>45658</v>
      </c>
      <c r="C94">
        <v>522.29</v>
      </c>
      <c r="D94" s="70">
        <f t="shared" si="24"/>
        <v>2.1634098155429049E-2</v>
      </c>
      <c r="E94" s="71">
        <f t="shared" si="35"/>
        <v>1.8300764822095715E-2</v>
      </c>
      <c r="F94">
        <v>341.8</v>
      </c>
      <c r="G94" s="70">
        <f t="shared" si="26"/>
        <v>8.1508669788634247E-2</v>
      </c>
      <c r="H94" s="70">
        <f t="shared" si="36"/>
        <v>7.817533645530092E-2</v>
      </c>
      <c r="I94" s="70">
        <f t="shared" si="37"/>
        <v>1.0614179988960698E-2</v>
      </c>
      <c r="J94" s="71">
        <f t="shared" si="38"/>
        <v>6.5378249002888161E-2</v>
      </c>
      <c r="K94">
        <v>555.42999999999995</v>
      </c>
      <c r="L94" s="70">
        <f t="shared" si="28"/>
        <v>5.4807527963993241E-2</v>
      </c>
      <c r="M94" s="70">
        <f t="shared" si="39"/>
        <v>5.1474194630659907E-2</v>
      </c>
      <c r="N94" s="70">
        <f t="shared" si="40"/>
        <v>1.1615377040152725E-2</v>
      </c>
      <c r="O94" s="71">
        <f t="shared" si="41"/>
        <v>3.7675910127055109E-2</v>
      </c>
      <c r="P94">
        <v>209.32</v>
      </c>
      <c r="Q94" s="70">
        <f t="shared" si="29"/>
        <v>5.9901767178084819E-2</v>
      </c>
      <c r="R94" s="70">
        <f t="shared" si="42"/>
        <v>5.6568433844751485E-2</v>
      </c>
      <c r="S94" s="70">
        <f t="shared" si="52"/>
        <v>2.1851485182392258E-2</v>
      </c>
      <c r="T94" s="71">
        <f t="shared" si="43"/>
        <v>2.4600673921935989E-2</v>
      </c>
      <c r="U94">
        <v>204.02</v>
      </c>
      <c r="V94" s="70">
        <f t="shared" si="31"/>
        <v>7.7760169043845639E-2</v>
      </c>
      <c r="W94" s="70">
        <f t="shared" si="44"/>
        <v>7.4426835710512312E-2</v>
      </c>
      <c r="X94" s="70">
        <f t="shared" si="45"/>
        <v>1.674247906949566E-2</v>
      </c>
      <c r="Y94" s="71">
        <f t="shared" si="46"/>
        <v>5.3857835741255938E-2</v>
      </c>
      <c r="Z94">
        <v>120.07</v>
      </c>
      <c r="AA94" s="70">
        <f t="shared" si="32"/>
        <v>-0.10589023754561022</v>
      </c>
      <c r="AB94" s="70">
        <f t="shared" si="47"/>
        <v>-0.10922357087894355</v>
      </c>
      <c r="AC94" s="70">
        <f t="shared" si="48"/>
        <v>3.5811437085099526E-2</v>
      </c>
      <c r="AD94" s="71">
        <f t="shared" si="49"/>
        <v>-0.17579054807149713</v>
      </c>
      <c r="AE94" s="151">
        <f t="shared" si="50"/>
        <v>1326.3968541466747</v>
      </c>
      <c r="AF94" s="71">
        <f t="shared" si="51"/>
        <v>-1.7571286289743707E-2</v>
      </c>
      <c r="AG94">
        <v>87.76</v>
      </c>
      <c r="AH94" s="70">
        <f t="shared" si="33"/>
        <v>4.9238520554220067E-3</v>
      </c>
      <c r="AI94" s="70">
        <f t="shared" si="23"/>
        <v>1.5905187220886731E-3</v>
      </c>
      <c r="AK94" s="204">
        <f t="shared" si="34"/>
        <v>-3.5872051111839422E-2</v>
      </c>
    </row>
    <row r="95" spans="2:37">
      <c r="B95" s="209">
        <v>45689</v>
      </c>
      <c r="C95">
        <v>508.17</v>
      </c>
      <c r="D95" s="70">
        <f>C95/C94-1</f>
        <v>-2.7034789101839873E-2</v>
      </c>
      <c r="E95" s="71">
        <f t="shared" si="35"/>
        <v>-3.0368122435173207E-2</v>
      </c>
      <c r="F95">
        <v>362.71</v>
      </c>
      <c r="G95" s="70">
        <f t="shared" si="26"/>
        <v>6.1176126389701491E-2</v>
      </c>
      <c r="H95" s="70">
        <f t="shared" si="36"/>
        <v>5.7842793056368157E-2</v>
      </c>
      <c r="I95" s="70">
        <f t="shared" si="37"/>
        <v>-1.761307358392751E-2</v>
      </c>
      <c r="J95" s="71">
        <f t="shared" si="38"/>
        <v>7.3272959176843594E-2</v>
      </c>
      <c r="K95">
        <v>576.30999999999995</v>
      </c>
      <c r="L95" s="70">
        <f t="shared" si="28"/>
        <v>3.7592495904074319E-2</v>
      </c>
      <c r="M95" s="70">
        <f t="shared" si="39"/>
        <v>3.4259162570740985E-2</v>
      </c>
      <c r="N95" s="70">
        <f t="shared" si="40"/>
        <v>-1.9274450850282222E-2</v>
      </c>
      <c r="O95" s="71">
        <f t="shared" si="41"/>
        <v>5.135070595757113E-2</v>
      </c>
      <c r="P95">
        <v>180.53</v>
      </c>
      <c r="Q95" s="70">
        <f t="shared" si="29"/>
        <v>-0.13754060768201792</v>
      </c>
      <c r="R95" s="70">
        <f t="shared" si="42"/>
        <v>-0.14087394101535125</v>
      </c>
      <c r="S95" s="70">
        <f t="shared" si="52"/>
        <v>2.9782669789613764E-2</v>
      </c>
      <c r="T95" s="71">
        <f t="shared" si="43"/>
        <v>-0.18077288554538826</v>
      </c>
      <c r="U95">
        <v>170.28</v>
      </c>
      <c r="V95" s="70">
        <f t="shared" si="31"/>
        <v>-0.16537594353494756</v>
      </c>
      <c r="W95" s="70">
        <f t="shared" si="44"/>
        <v>-0.16870927686828088</v>
      </c>
      <c r="X95" s="70">
        <f t="shared" si="45"/>
        <v>-2.7782317252495307E-2</v>
      </c>
      <c r="Y95" s="71">
        <f t="shared" si="46"/>
        <v>-0.14475348051554629</v>
      </c>
      <c r="Z95">
        <v>124.92</v>
      </c>
      <c r="AA95" s="70">
        <f t="shared" si="32"/>
        <v>4.0393104022653503E-2</v>
      </c>
      <c r="AB95" s="70">
        <f t="shared" si="47"/>
        <v>3.7059770689320169E-2</v>
      </c>
      <c r="AC95" s="70">
        <f t="shared" si="48"/>
        <v>-5.9425172475128636E-2</v>
      </c>
      <c r="AD95" s="71">
        <f t="shared" si="49"/>
        <v>6.5729403056994762E-2</v>
      </c>
      <c r="AE95" s="151">
        <f t="shared" si="50"/>
        <v>1278.0123335440974</v>
      </c>
      <c r="AF95" s="71">
        <f t="shared" si="51"/>
        <v>-3.647816296556658E-2</v>
      </c>
      <c r="AG95">
        <v>92.43</v>
      </c>
      <c r="AH95" s="70">
        <f>AG95/AG94-1</f>
        <v>5.3213309024612521E-2</v>
      </c>
      <c r="AI95" s="70">
        <f t="shared" si="23"/>
        <v>4.9879975691279187E-2</v>
      </c>
      <c r="AK95" s="204">
        <f t="shared" si="34"/>
        <v>-6.1100405303933722E-3</v>
      </c>
    </row>
    <row r="96" spans="2:37">
      <c r="B96" s="209">
        <v>45717</v>
      </c>
      <c r="C96">
        <v>468.92</v>
      </c>
      <c r="D96" s="70">
        <f t="shared" si="24"/>
        <v>-7.7237932188047309E-2</v>
      </c>
      <c r="E96" s="71">
        <f t="shared" si="35"/>
        <v>-8.0571265521380636E-2</v>
      </c>
      <c r="F96">
        <v>350.46</v>
      </c>
      <c r="G96" s="70">
        <f t="shared" si="26"/>
        <v>-3.3773538088279875E-2</v>
      </c>
      <c r="H96" s="70">
        <f t="shared" si="36"/>
        <v>-3.7106871421613209E-2</v>
      </c>
      <c r="I96" s="70">
        <f t="shared" si="37"/>
        <v>-4.673017343787407E-2</v>
      </c>
      <c r="J96" s="71">
        <f t="shared" si="38"/>
        <v>7.4403945528087878E-3</v>
      </c>
      <c r="K96">
        <v>548.12</v>
      </c>
      <c r="L96" s="70">
        <f t="shared" si="28"/>
        <v>-4.8914646631153302E-2</v>
      </c>
      <c r="M96" s="70">
        <f t="shared" si="39"/>
        <v>-5.2247979964486636E-2</v>
      </c>
      <c r="N96" s="70">
        <f t="shared" si="40"/>
        <v>-5.1138060989842429E-2</v>
      </c>
      <c r="O96" s="71">
        <f t="shared" si="41"/>
        <v>-3.2928264380962802E-3</v>
      </c>
      <c r="P96">
        <v>166</v>
      </c>
      <c r="Q96" s="70">
        <f t="shared" si="29"/>
        <v>-8.0485237910596585E-2</v>
      </c>
      <c r="R96" s="70">
        <f t="shared" si="42"/>
        <v>-8.3818571243929912E-2</v>
      </c>
      <c r="S96" s="70">
        <f t="shared" si="52"/>
        <v>-1.9097919035691913E-3</v>
      </c>
      <c r="T96" s="71">
        <f t="shared" si="43"/>
        <v>-9.2025054080783972E-2</v>
      </c>
      <c r="U96">
        <v>154.63999999999999</v>
      </c>
      <c r="V96" s="70">
        <f t="shared" si="31"/>
        <v>-9.1848719755696639E-2</v>
      </c>
      <c r="W96" s="70">
        <f t="shared" si="44"/>
        <v>-9.5182053089029967E-2</v>
      </c>
      <c r="X96" s="70">
        <f t="shared" si="45"/>
        <v>-7.3710729562832325E-2</v>
      </c>
      <c r="Y96" s="71">
        <f t="shared" si="46"/>
        <v>-2.5297844425958352E-2</v>
      </c>
      <c r="Z96">
        <v>108.38</v>
      </c>
      <c r="AA96" s="70">
        <f t="shared" si="32"/>
        <v>-0.13240473903298111</v>
      </c>
      <c r="AB96" s="70">
        <f t="shared" si="47"/>
        <v>-0.13573807236631444</v>
      </c>
      <c r="AC96" s="70">
        <f t="shared" si="48"/>
        <v>-0.15766405579957354</v>
      </c>
      <c r="AD96" s="71">
        <f t="shared" si="49"/>
        <v>-8.8295566741949383E-3</v>
      </c>
      <c r="AE96" s="151">
        <f t="shared" si="50"/>
        <v>1142.3872349286953</v>
      </c>
      <c r="AF96" s="71">
        <f t="shared" si="51"/>
        <v>-0.10612190121772595</v>
      </c>
      <c r="AG96">
        <v>91.03</v>
      </c>
      <c r="AH96" s="70">
        <f t="shared" ref="AH96" si="53">AG96/AG95-1</f>
        <v>-1.5146597425078512E-2</v>
      </c>
      <c r="AI96" s="70">
        <f t="shared" si="23"/>
        <v>-1.8479930758411846E-2</v>
      </c>
      <c r="AK96" s="204">
        <f t="shared" si="34"/>
        <v>-2.5550635696345317E-2</v>
      </c>
    </row>
    <row r="97" spans="2:38">
      <c r="B97" s="210">
        <v>45352</v>
      </c>
      <c r="C97">
        <v>444.1</v>
      </c>
      <c r="D97" s="200">
        <f>C97/C96-1</f>
        <v>-5.293013733685914E-2</v>
      </c>
      <c r="E97" s="201">
        <f t="shared" si="35"/>
        <v>-5.6263470670192474E-2</v>
      </c>
      <c r="F97">
        <v>329.61</v>
      </c>
      <c r="G97" s="200">
        <f t="shared" si="26"/>
        <v>-5.9493237459339099E-2</v>
      </c>
      <c r="H97" s="200">
        <f t="shared" si="36"/>
        <v>-6.2826570792672426E-2</v>
      </c>
      <c r="I97" s="200">
        <f t="shared" si="37"/>
        <v>-3.2632002558494529E-2</v>
      </c>
      <c r="J97" s="201">
        <f t="shared" si="38"/>
        <v>-3.2377475697629964E-2</v>
      </c>
      <c r="K97">
        <v>517.33000000000004</v>
      </c>
      <c r="L97" s="200">
        <f t="shared" si="28"/>
        <v>-5.6173830548055137E-2</v>
      </c>
      <c r="M97" s="200">
        <f t="shared" si="39"/>
        <v>-5.9507163881388471E-2</v>
      </c>
      <c r="N97" s="200">
        <f t="shared" si="40"/>
        <v>-3.5710060851272214E-2</v>
      </c>
      <c r="O97" s="201">
        <f t="shared" si="41"/>
        <v>-2.598001049356833E-2</v>
      </c>
      <c r="P97">
        <v>151.74</v>
      </c>
      <c r="Q97" s="200">
        <f t="shared" si="29"/>
        <v>-8.5903614457831234E-2</v>
      </c>
      <c r="R97" s="200">
        <f t="shared" si="42"/>
        <v>-8.9236947791164561E-2</v>
      </c>
      <c r="S97" s="200">
        <f t="shared" si="52"/>
        <v>-1.5068031865033474E-2</v>
      </c>
      <c r="T97" s="201">
        <f t="shared" si="43"/>
        <v>-8.4285190666554335E-2</v>
      </c>
      <c r="U97">
        <v>151.16</v>
      </c>
      <c r="V97" s="200">
        <f t="shared" si="31"/>
        <v>-2.2503879979306696E-2</v>
      </c>
      <c r="W97" s="200">
        <f t="shared" si="44"/>
        <v>-2.583721331264003E-2</v>
      </c>
      <c r="X97" s="200">
        <f t="shared" si="45"/>
        <v>-5.1472711071373044E-2</v>
      </c>
      <c r="Y97" s="201">
        <f t="shared" si="46"/>
        <v>2.18089768589723E-2</v>
      </c>
      <c r="Z97">
        <v>101.49</v>
      </c>
      <c r="AA97" s="200">
        <f t="shared" si="32"/>
        <v>-6.3572614873592892E-2</v>
      </c>
      <c r="AB97" s="200">
        <f t="shared" si="47"/>
        <v>-6.6905948206926219E-2</v>
      </c>
      <c r="AC97" s="200">
        <f t="shared" si="48"/>
        <v>-0.11009789807594535</v>
      </c>
      <c r="AD97" s="201">
        <f t="shared" si="49"/>
        <v>1.2436409761565084E-2</v>
      </c>
      <c r="AE97" s="203">
        <f t="shared" si="50"/>
        <v>1074.5271520620381</v>
      </c>
      <c r="AF97" s="201">
        <f t="shared" si="51"/>
        <v>-5.9401996793926784E-2</v>
      </c>
      <c r="AG97">
        <v>87.53</v>
      </c>
      <c r="AH97" s="200">
        <f>AG97/AG96-1</f>
        <v>-3.8448863012193746E-2</v>
      </c>
      <c r="AI97" s="200">
        <f t="shared" si="23"/>
        <v>-4.178219634552708E-2</v>
      </c>
      <c r="AJ97" s="36"/>
      <c r="AK97" s="205">
        <f t="shared" si="34"/>
        <v>-3.1385261237343101E-3</v>
      </c>
    </row>
    <row r="98" spans="2:38">
      <c r="B98" s="72"/>
      <c r="D98" s="199"/>
      <c r="E98" s="206"/>
      <c r="F98" t="s">
        <v>111</v>
      </c>
      <c r="G98"/>
      <c r="H98"/>
      <c r="I98"/>
      <c r="J98"/>
      <c r="K98" t="s">
        <v>111</v>
      </c>
      <c r="L98"/>
      <c r="M98"/>
      <c r="N98"/>
      <c r="O98"/>
      <c r="P98" t="s">
        <v>111</v>
      </c>
      <c r="Q98"/>
      <c r="R98"/>
      <c r="S98"/>
      <c r="T98"/>
      <c r="U98" t="s">
        <v>111</v>
      </c>
      <c r="V98"/>
      <c r="W98"/>
      <c r="X98"/>
      <c r="Y98"/>
      <c r="Z98" t="s">
        <v>111</v>
      </c>
      <c r="AA98"/>
      <c r="AB98"/>
      <c r="AC98"/>
      <c r="AD98"/>
      <c r="AE98"/>
      <c r="AF98"/>
      <c r="AG98"/>
      <c r="AH98"/>
      <c r="AK98" s="199">
        <f>AVERAGE(AK39:AK97)*12</f>
        <v>0.25566598889968761</v>
      </c>
      <c r="AL98" s="30" t="s">
        <v>192</v>
      </c>
    </row>
    <row r="99" spans="2:38" ht="17" thickBot="1">
      <c r="D99" s="202"/>
      <c r="E99" s="207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K99" s="199">
        <f>_xlfn.STDEV.S(AK39:AK97)</f>
        <v>5.1761855803827875E-2</v>
      </c>
      <c r="AL99" s="30" t="s">
        <v>24</v>
      </c>
    </row>
    <row r="100" spans="2:38">
      <c r="B100" s="209"/>
      <c r="E100" s="43"/>
      <c r="F100" s="218" t="s">
        <v>112</v>
      </c>
      <c r="G100" s="218"/>
      <c r="H100"/>
      <c r="I100"/>
      <c r="J100"/>
      <c r="K100" s="218" t="s">
        <v>112</v>
      </c>
      <c r="L100" s="218"/>
      <c r="M100"/>
      <c r="N100"/>
      <c r="O100"/>
      <c r="P100" s="218" t="s">
        <v>112</v>
      </c>
      <c r="Q100" s="218"/>
      <c r="R100"/>
      <c r="S100"/>
      <c r="T100"/>
      <c r="U100" s="218" t="s">
        <v>112</v>
      </c>
      <c r="V100" s="218"/>
      <c r="W100"/>
      <c r="X100"/>
      <c r="Y100"/>
      <c r="Z100" s="218" t="s">
        <v>112</v>
      </c>
      <c r="AA100" s="218"/>
      <c r="AB100"/>
      <c r="AC100"/>
      <c r="AD100"/>
      <c r="AE100"/>
      <c r="AF100"/>
      <c r="AG100"/>
      <c r="AH100"/>
      <c r="AK100" s="213">
        <f>CORREL(AF39:AF97,E39:E97)</f>
        <v>0.87996324525653513</v>
      </c>
      <c r="AL100" s="30" t="s">
        <v>193</v>
      </c>
    </row>
    <row r="101" spans="2:38">
      <c r="E101" s="43"/>
      <c r="F101" t="s">
        <v>113</v>
      </c>
      <c r="G101">
        <v>0.53256298619035181</v>
      </c>
      <c r="H101"/>
      <c r="I101"/>
      <c r="J101"/>
      <c r="K101" t="s">
        <v>113</v>
      </c>
      <c r="L101">
        <v>0.52377541082710799</v>
      </c>
      <c r="M101"/>
      <c r="N101"/>
      <c r="O101"/>
      <c r="P101" t="s">
        <v>113</v>
      </c>
      <c r="Q101">
        <v>0.6349106160053819</v>
      </c>
      <c r="R101"/>
      <c r="S101"/>
      <c r="T101"/>
      <c r="U101" t="s">
        <v>113</v>
      </c>
      <c r="V101">
        <v>0.70110757985712235</v>
      </c>
      <c r="W101"/>
      <c r="X101"/>
      <c r="Y101"/>
      <c r="Z101" t="s">
        <v>113</v>
      </c>
      <c r="AA101">
        <v>0.79794203770500749</v>
      </c>
      <c r="AB101"/>
      <c r="AC101"/>
      <c r="AD101"/>
      <c r="AE101"/>
      <c r="AF101"/>
      <c r="AG101"/>
      <c r="AH101"/>
      <c r="AK101" s="213">
        <f>RSQ(AF39:AF97,E39:E97)</f>
        <v>0.77433531300241298</v>
      </c>
      <c r="AL101" s="30" t="s">
        <v>194</v>
      </c>
    </row>
    <row r="102" spans="2:38">
      <c r="E102" s="43"/>
      <c r="F102" t="s">
        <v>114</v>
      </c>
      <c r="G102">
        <v>0.28362333425998482</v>
      </c>
      <c r="H102"/>
      <c r="I102"/>
      <c r="J102"/>
      <c r="K102" t="s">
        <v>114</v>
      </c>
      <c r="L102">
        <v>0.27434068098710573</v>
      </c>
      <c r="M102"/>
      <c r="N102"/>
      <c r="O102"/>
      <c r="P102" t="s">
        <v>114</v>
      </c>
      <c r="Q102">
        <v>0.40311149031633353</v>
      </c>
      <c r="R102"/>
      <c r="S102"/>
      <c r="T102"/>
      <c r="U102" t="s">
        <v>114</v>
      </c>
      <c r="V102">
        <v>0.49155183853311124</v>
      </c>
      <c r="W102"/>
      <c r="X102"/>
      <c r="Y102"/>
      <c r="Z102" t="s">
        <v>114</v>
      </c>
      <c r="AA102">
        <v>0.6367114955368196</v>
      </c>
      <c r="AB102"/>
      <c r="AC102"/>
      <c r="AD102"/>
      <c r="AE102"/>
      <c r="AF102"/>
      <c r="AG102"/>
      <c r="AH102"/>
      <c r="AK102" s="213">
        <f>SLOPE(AF39:AF97,E39:E97)</f>
        <v>1.4076178777376089</v>
      </c>
      <c r="AL102" s="30" t="s">
        <v>196</v>
      </c>
    </row>
    <row r="103" spans="2:38">
      <c r="E103" s="43"/>
      <c r="F103" t="s">
        <v>115</v>
      </c>
      <c r="G103">
        <v>0.27105532258033543</v>
      </c>
      <c r="H103"/>
      <c r="I103"/>
      <c r="J103"/>
      <c r="K103" t="s">
        <v>115</v>
      </c>
      <c r="L103">
        <v>0.26160981574126546</v>
      </c>
      <c r="M103"/>
      <c r="N103"/>
      <c r="O103"/>
      <c r="P103" t="s">
        <v>115</v>
      </c>
      <c r="Q103">
        <v>0.39263976207626922</v>
      </c>
      <c r="R103"/>
      <c r="S103"/>
      <c r="T103"/>
      <c r="U103" t="s">
        <v>115</v>
      </c>
      <c r="V103">
        <v>0.48263169534948158</v>
      </c>
      <c r="W103"/>
      <c r="X103"/>
      <c r="Y103"/>
      <c r="Z103" t="s">
        <v>115</v>
      </c>
      <c r="AA103">
        <v>0.63033801300237779</v>
      </c>
      <c r="AB103"/>
      <c r="AC103"/>
      <c r="AD103"/>
      <c r="AE103"/>
      <c r="AF103"/>
      <c r="AG103"/>
      <c r="AH103"/>
    </row>
    <row r="104" spans="2:38">
      <c r="E104" s="43"/>
      <c r="F104" t="s">
        <v>116</v>
      </c>
      <c r="G104">
        <v>5.5813207116011218E-2</v>
      </c>
      <c r="H104"/>
      <c r="I104"/>
      <c r="J104"/>
      <c r="K104" t="s">
        <v>116</v>
      </c>
      <c r="L104">
        <v>6.2503651257094492E-2</v>
      </c>
      <c r="M104"/>
      <c r="N104"/>
      <c r="O104"/>
      <c r="P104" t="s">
        <v>116</v>
      </c>
      <c r="Q104">
        <v>8.491800306975622E-2</v>
      </c>
      <c r="R104"/>
      <c r="S104"/>
      <c r="T104"/>
      <c r="U104" t="s">
        <v>116</v>
      </c>
      <c r="V104">
        <v>5.6339013347083459E-2</v>
      </c>
      <c r="W104"/>
      <c r="X104"/>
      <c r="Y104"/>
      <c r="Z104" t="s">
        <v>116</v>
      </c>
      <c r="AA104">
        <v>8.950082235842749E-2</v>
      </c>
      <c r="AB104"/>
      <c r="AC104"/>
      <c r="AD104"/>
      <c r="AE104"/>
      <c r="AF104"/>
      <c r="AG104"/>
      <c r="AH104"/>
    </row>
    <row r="105" spans="2:38" ht="17" thickBot="1">
      <c r="E105" s="43"/>
      <c r="F105" s="216" t="s">
        <v>117</v>
      </c>
      <c r="G105" s="216">
        <v>59</v>
      </c>
      <c r="H105"/>
      <c r="I105"/>
      <c r="J105"/>
      <c r="K105" s="216" t="s">
        <v>117</v>
      </c>
      <c r="L105" s="216">
        <v>59</v>
      </c>
      <c r="M105"/>
      <c r="N105"/>
      <c r="O105"/>
      <c r="P105" s="216" t="s">
        <v>117</v>
      </c>
      <c r="Q105" s="216">
        <v>59</v>
      </c>
      <c r="R105"/>
      <c r="S105"/>
      <c r="T105"/>
      <c r="U105" s="216" t="s">
        <v>117</v>
      </c>
      <c r="V105" s="216">
        <v>59</v>
      </c>
      <c r="W105"/>
      <c r="X105"/>
      <c r="Y105"/>
      <c r="Z105" s="216" t="s">
        <v>117</v>
      </c>
      <c r="AA105" s="216">
        <v>59</v>
      </c>
      <c r="AB105"/>
      <c r="AC105"/>
      <c r="AD105"/>
      <c r="AE105"/>
      <c r="AF105"/>
      <c r="AG105"/>
      <c r="AH105"/>
    </row>
    <row r="106" spans="2:38">
      <c r="E106" s="43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2:38" ht="17" thickBot="1">
      <c r="E107" s="43"/>
      <c r="F107" t="s">
        <v>118</v>
      </c>
      <c r="G107"/>
      <c r="H107"/>
      <c r="I107"/>
      <c r="J107"/>
      <c r="K107" t="s">
        <v>118</v>
      </c>
      <c r="L107"/>
      <c r="M107"/>
      <c r="N107"/>
      <c r="O107"/>
      <c r="P107" t="s">
        <v>118</v>
      </c>
      <c r="Q107"/>
      <c r="R107"/>
      <c r="S107"/>
      <c r="T107"/>
      <c r="U107" t="s">
        <v>118</v>
      </c>
      <c r="V107"/>
      <c r="W107"/>
      <c r="X107"/>
      <c r="Y107"/>
      <c r="Z107" t="s">
        <v>118</v>
      </c>
      <c r="AA107"/>
      <c r="AB107"/>
      <c r="AC107"/>
      <c r="AD107"/>
      <c r="AE107"/>
      <c r="AF107"/>
      <c r="AG107"/>
      <c r="AH107"/>
    </row>
    <row r="108" spans="2:38">
      <c r="E108" s="43"/>
      <c r="F108" s="217"/>
      <c r="G108" s="217" t="s">
        <v>123</v>
      </c>
      <c r="H108" s="217" t="s">
        <v>124</v>
      </c>
      <c r="I108" s="217" t="s">
        <v>125</v>
      </c>
      <c r="J108" s="217" t="s">
        <v>126</v>
      </c>
      <c r="K108" s="217"/>
      <c r="L108" s="217" t="s">
        <v>123</v>
      </c>
      <c r="M108" s="217" t="s">
        <v>124</v>
      </c>
      <c r="N108" s="217" t="s">
        <v>125</v>
      </c>
      <c r="O108" s="217" t="s">
        <v>126</v>
      </c>
      <c r="P108" s="217"/>
      <c r="Q108" s="217" t="s">
        <v>123</v>
      </c>
      <c r="R108" s="217" t="s">
        <v>124</v>
      </c>
      <c r="S108" s="217" t="s">
        <v>125</v>
      </c>
      <c r="T108" s="217" t="s">
        <v>126</v>
      </c>
      <c r="U108" s="217"/>
      <c r="V108" s="217" t="s">
        <v>123</v>
      </c>
      <c r="W108" s="217" t="s">
        <v>124</v>
      </c>
      <c r="X108" s="217" t="s">
        <v>125</v>
      </c>
      <c r="Y108" s="217" t="s">
        <v>126</v>
      </c>
      <c r="Z108" s="217"/>
      <c r="AA108" s="217" t="s">
        <v>123</v>
      </c>
      <c r="AB108" s="217" t="s">
        <v>124</v>
      </c>
      <c r="AC108" s="217" t="s">
        <v>125</v>
      </c>
      <c r="AD108" s="217" t="s">
        <v>126</v>
      </c>
      <c r="AE108"/>
      <c r="AF108"/>
      <c r="AG108"/>
      <c r="AH108"/>
    </row>
    <row r="109" spans="2:38">
      <c r="E109" s="43"/>
      <c r="F109" t="s">
        <v>119</v>
      </c>
      <c r="G109">
        <v>1</v>
      </c>
      <c r="H109">
        <v>7.0299031137316392E-2</v>
      </c>
      <c r="I109">
        <v>7.0299031137316392E-2</v>
      </c>
      <c r="J109">
        <v>22.567080735550132</v>
      </c>
      <c r="K109" t="s">
        <v>119</v>
      </c>
      <c r="L109">
        <v>1</v>
      </c>
      <c r="M109">
        <v>8.418661882845857E-2</v>
      </c>
      <c r="N109">
        <v>8.418661882845857E-2</v>
      </c>
      <c r="O109">
        <v>21.549256526514977</v>
      </c>
      <c r="P109" t="s">
        <v>119</v>
      </c>
      <c r="Q109">
        <v>1</v>
      </c>
      <c r="R109">
        <v>0.27759162550885169</v>
      </c>
      <c r="S109">
        <v>0.27759162550885169</v>
      </c>
      <c r="T109">
        <v>38.49522075773973</v>
      </c>
      <c r="U109" t="s">
        <v>119</v>
      </c>
      <c r="V109">
        <v>1</v>
      </c>
      <c r="W109">
        <v>0.17491053704087284</v>
      </c>
      <c r="X109">
        <v>0.17491053704087284</v>
      </c>
      <c r="Y109">
        <v>55.105823798345988</v>
      </c>
      <c r="Z109" t="s">
        <v>119</v>
      </c>
      <c r="AA109">
        <v>1</v>
      </c>
      <c r="AB109">
        <v>0.8002394225290872</v>
      </c>
      <c r="AC109">
        <v>0.8002394225290872</v>
      </c>
      <c r="AD109">
        <v>99.900092625355825</v>
      </c>
      <c r="AE109"/>
      <c r="AF109"/>
      <c r="AG109"/>
      <c r="AH109"/>
    </row>
    <row r="110" spans="2:38">
      <c r="E110" s="43"/>
      <c r="F110" t="s">
        <v>120</v>
      </c>
      <c r="G110">
        <v>57</v>
      </c>
      <c r="H110">
        <v>0.17756150304876162</v>
      </c>
      <c r="I110">
        <v>3.1151140885747651E-3</v>
      </c>
      <c r="J110"/>
      <c r="K110" t="s">
        <v>120</v>
      </c>
      <c r="L110">
        <v>57</v>
      </c>
      <c r="M110">
        <v>0.22268226596670393</v>
      </c>
      <c r="N110">
        <v>3.9067064204684901E-3</v>
      </c>
      <c r="O110"/>
      <c r="P110" t="s">
        <v>120</v>
      </c>
      <c r="Q110">
        <v>57</v>
      </c>
      <c r="R110">
        <v>0.41103083298524218</v>
      </c>
      <c r="S110">
        <v>7.2110672453551258E-3</v>
      </c>
      <c r="T110"/>
      <c r="U110" t="s">
        <v>120</v>
      </c>
      <c r="V110">
        <v>57</v>
      </c>
      <c r="W110">
        <v>0.18092281222060236</v>
      </c>
      <c r="X110">
        <v>3.1740844249228484E-3</v>
      </c>
      <c r="Y110"/>
      <c r="Z110" t="s">
        <v>120</v>
      </c>
      <c r="AA110">
        <v>57</v>
      </c>
      <c r="AB110">
        <v>0.45659264056158327</v>
      </c>
      <c r="AC110">
        <v>8.0103972028347948E-3</v>
      </c>
      <c r="AD110"/>
      <c r="AE110"/>
      <c r="AF110"/>
      <c r="AG110"/>
      <c r="AH110"/>
    </row>
    <row r="111" spans="2:38" ht="17" thickBot="1">
      <c r="E111" s="43"/>
      <c r="F111" s="216" t="s">
        <v>121</v>
      </c>
      <c r="G111" s="216">
        <v>58</v>
      </c>
      <c r="H111" s="216">
        <v>0.24786053418607801</v>
      </c>
      <c r="I111" s="216"/>
      <c r="J111" s="216"/>
      <c r="K111" s="216" t="s">
        <v>121</v>
      </c>
      <c r="L111" s="216">
        <v>58</v>
      </c>
      <c r="M111" s="216">
        <v>0.3068688847951625</v>
      </c>
      <c r="N111" s="216"/>
      <c r="O111" s="216"/>
      <c r="P111" s="216" t="s">
        <v>121</v>
      </c>
      <c r="Q111" s="216">
        <v>58</v>
      </c>
      <c r="R111" s="216">
        <v>0.68862245849409387</v>
      </c>
      <c r="S111" s="216"/>
      <c r="T111" s="216"/>
      <c r="U111" s="216" t="s">
        <v>121</v>
      </c>
      <c r="V111" s="216">
        <v>58</v>
      </c>
      <c r="W111" s="216">
        <v>0.3558333492614752</v>
      </c>
      <c r="X111" s="216"/>
      <c r="Y111" s="216"/>
      <c r="Z111" s="216" t="s">
        <v>121</v>
      </c>
      <c r="AA111" s="216">
        <v>58</v>
      </c>
      <c r="AB111" s="216">
        <v>1.2568320630906704</v>
      </c>
      <c r="AC111" s="216"/>
      <c r="AD111" s="216"/>
      <c r="AE111"/>
      <c r="AF111"/>
      <c r="AG111"/>
      <c r="AH111"/>
    </row>
    <row r="112" spans="2:38" ht="17" thickBot="1">
      <c r="E112" s="43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3:35">
      <c r="E113" s="43"/>
      <c r="F113" s="217"/>
      <c r="G113" s="217" t="s">
        <v>127</v>
      </c>
      <c r="H113" s="217" t="s">
        <v>116</v>
      </c>
      <c r="I113" s="217" t="s">
        <v>128</v>
      </c>
      <c r="J113" s="217" t="s">
        <v>129</v>
      </c>
      <c r="K113" s="217"/>
      <c r="L113" s="217" t="s">
        <v>127</v>
      </c>
      <c r="M113" s="217" t="s">
        <v>116</v>
      </c>
      <c r="N113" s="217" t="s">
        <v>128</v>
      </c>
      <c r="O113" s="217" t="s">
        <v>129</v>
      </c>
      <c r="P113" s="217"/>
      <c r="Q113" s="217" t="s">
        <v>127</v>
      </c>
      <c r="R113" s="217" t="s">
        <v>116</v>
      </c>
      <c r="S113" s="217" t="s">
        <v>128</v>
      </c>
      <c r="T113" s="217" t="s">
        <v>129</v>
      </c>
      <c r="U113" s="217"/>
      <c r="V113" s="217" t="s">
        <v>127</v>
      </c>
      <c r="W113" s="217" t="s">
        <v>116</v>
      </c>
      <c r="X113" s="217" t="s">
        <v>128</v>
      </c>
      <c r="Y113" s="217" t="s">
        <v>129</v>
      </c>
      <c r="Z113" s="217"/>
      <c r="AA113" s="217" t="s">
        <v>127</v>
      </c>
      <c r="AB113" s="217" t="s">
        <v>116</v>
      </c>
      <c r="AC113" s="217" t="s">
        <v>128</v>
      </c>
      <c r="AD113" s="217" t="s">
        <v>129</v>
      </c>
      <c r="AE113"/>
      <c r="AF113"/>
      <c r="AG113"/>
      <c r="AH113"/>
    </row>
    <row r="114" spans="3:35">
      <c r="E114" s="43"/>
      <c r="F114" t="s">
        <v>122</v>
      </c>
      <c r="G114">
        <v>2.1829074634520705E-3</v>
      </c>
      <c r="H114">
        <v>7.3566616005362843E-3</v>
      </c>
      <c r="I114">
        <v>0.29672527866348253</v>
      </c>
      <c r="J114">
        <v>0.76775482640835835</v>
      </c>
      <c r="K114" t="s">
        <v>122</v>
      </c>
      <c r="L114">
        <v>2.4955134444792117E-3</v>
      </c>
      <c r="M114">
        <v>8.2385197851221441E-3</v>
      </c>
      <c r="N114">
        <v>0.3029079870616847</v>
      </c>
      <c r="O114">
        <v>0.76306272577912782</v>
      </c>
      <c r="P114" t="s">
        <v>122</v>
      </c>
      <c r="Q114">
        <v>1.0116274740423249E-2</v>
      </c>
      <c r="R114">
        <v>1.1192924482533194E-2</v>
      </c>
      <c r="S114">
        <v>0.90380979128465655</v>
      </c>
      <c r="T114">
        <v>0.36990031059253614</v>
      </c>
      <c r="U114" t="s">
        <v>122</v>
      </c>
      <c r="V114">
        <v>3.8265208997607138E-3</v>
      </c>
      <c r="W114">
        <v>7.425967392289329E-3</v>
      </c>
      <c r="X114">
        <v>0.51528921386511062</v>
      </c>
      <c r="Y114">
        <v>0.60834369556838874</v>
      </c>
      <c r="Z114" t="s">
        <v>122</v>
      </c>
      <c r="AA114">
        <v>3.0755540107454037E-2</v>
      </c>
      <c r="AB114">
        <v>1.1796979551669211E-2</v>
      </c>
      <c r="AC114">
        <v>2.607069035997633</v>
      </c>
      <c r="AD114">
        <v>1.1635306374802765E-2</v>
      </c>
      <c r="AE114"/>
      <c r="AF114"/>
      <c r="AG114"/>
      <c r="AH114"/>
    </row>
    <row r="115" spans="3:35" ht="17" thickBot="1">
      <c r="E115" s="43"/>
      <c r="F115" s="216" t="s">
        <v>130</v>
      </c>
      <c r="G115" s="216">
        <v>0.57998559580119313</v>
      </c>
      <c r="H115" s="216">
        <v>0.12208983772264578</v>
      </c>
      <c r="I115" s="216">
        <v>4.7504821582182739</v>
      </c>
      <c r="J115" s="216">
        <v>1.4134471701341226E-5</v>
      </c>
      <c r="K115" s="216" t="s">
        <v>130</v>
      </c>
      <c r="L115" s="216">
        <v>0.63469353073860169</v>
      </c>
      <c r="M115" s="216">
        <v>0.13672499813870001</v>
      </c>
      <c r="N115" s="216">
        <v>4.6421176769352739</v>
      </c>
      <c r="O115" s="216">
        <v>2.0707348353843269E-5</v>
      </c>
      <c r="P115" s="216" t="s">
        <v>130</v>
      </c>
      <c r="Q115" s="216">
        <v>1.1525126953660267</v>
      </c>
      <c r="R115" s="216">
        <v>0.18575576911335556</v>
      </c>
      <c r="S115" s="216">
        <v>6.2044516887263814</v>
      </c>
      <c r="T115" s="216">
        <v>6.6379544327405567E-8</v>
      </c>
      <c r="U115" s="216" t="s">
        <v>130</v>
      </c>
      <c r="V115" s="216">
        <v>0.91485133174769651</v>
      </c>
      <c r="W115" s="216">
        <v>0.12324002422405451</v>
      </c>
      <c r="X115" s="216">
        <v>7.4233296975377572</v>
      </c>
      <c r="Y115" s="216">
        <v>6.2665297172726706E-10</v>
      </c>
      <c r="Z115" s="216" t="s">
        <v>130</v>
      </c>
      <c r="AA115" s="216">
        <v>1.9568273475577389</v>
      </c>
      <c r="AB115" s="216">
        <v>0.19578055880342116</v>
      </c>
      <c r="AC115" s="216">
        <v>9.9950033829586982</v>
      </c>
      <c r="AD115" s="216">
        <v>3.8299430729033991E-14</v>
      </c>
      <c r="AE115"/>
      <c r="AF115"/>
      <c r="AG115"/>
      <c r="AH115"/>
    </row>
    <row r="116" spans="3:35">
      <c r="E116" s="43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3:35"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3:35">
      <c r="C118" s="73"/>
      <c r="D118" s="73"/>
      <c r="E118" s="73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3:35">
      <c r="C119" s="73"/>
      <c r="D119" s="73"/>
      <c r="E119" s="73"/>
      <c r="AE119"/>
      <c r="AF119"/>
      <c r="AG119"/>
      <c r="AH119"/>
      <c r="AI119"/>
    </row>
    <row r="120" spans="3:35">
      <c r="C120" s="73"/>
      <c r="D120" s="73"/>
      <c r="E120" s="73"/>
    </row>
  </sheetData>
  <mergeCells count="9">
    <mergeCell ref="F21:F24"/>
    <mergeCell ref="Z36:AD36"/>
    <mergeCell ref="AG36:AI36"/>
    <mergeCell ref="C36:E36"/>
    <mergeCell ref="F36:J36"/>
    <mergeCell ref="K36:O36"/>
    <mergeCell ref="P36:T36"/>
    <mergeCell ref="U36:Y36"/>
    <mergeCell ref="AE36:AF36"/>
  </mergeCells>
  <hyperlinks>
    <hyperlink ref="AL101" r:id="rId1" display="R^@" xr:uid="{884E9240-4B2E-4164-B4C6-E52D62BB3EE0}"/>
  </hyperlinks>
  <pageMargins left="0.25" right="0.25" top="0.75" bottom="0.75" header="0.3" footer="0.3"/>
  <pageSetup scale="49" orientation="landscape" horizontalDpi="0" verticalDpi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55EA-4DCB-8243-988C-BA08C9B0B5C0}">
  <dimension ref="B1:K20"/>
  <sheetViews>
    <sheetView showGridLines="0" zoomScale="61" zoomScaleNormal="61" workbookViewId="0">
      <selection activeCell="O41" sqref="O41"/>
    </sheetView>
  </sheetViews>
  <sheetFormatPr baseColWidth="10" defaultColWidth="10.83203125" defaultRowHeight="16"/>
  <cols>
    <col min="1" max="1" width="1.83203125" style="3" customWidth="1"/>
    <col min="2" max="2" width="30.83203125" style="3" customWidth="1"/>
    <col min="3" max="4" width="19.5" style="3" customWidth="1"/>
    <col min="5" max="5" width="13.6640625" style="3" customWidth="1"/>
    <col min="6" max="16384" width="10.83203125" style="3"/>
  </cols>
  <sheetData>
    <row r="1" spans="2:11" ht="17" thickBot="1"/>
    <row r="2" spans="2:11" ht="19" thickBot="1">
      <c r="B2" s="330" t="s">
        <v>338</v>
      </c>
      <c r="C2" s="331"/>
      <c r="D2" s="331"/>
      <c r="E2" s="331"/>
      <c r="F2" s="331"/>
      <c r="G2" s="332"/>
    </row>
    <row r="4" spans="2:11">
      <c r="B4" s="316" t="s">
        <v>339</v>
      </c>
      <c r="C4" s="317"/>
    </row>
    <row r="5" spans="2:11">
      <c r="B5" s="3" t="s">
        <v>162</v>
      </c>
      <c r="C5" s="3">
        <v>25.72</v>
      </c>
      <c r="F5" s="184"/>
    </row>
    <row r="6" spans="2:11">
      <c r="B6" s="3" t="s">
        <v>163</v>
      </c>
      <c r="C6" s="185">
        <v>2.8400000000000002E-2</v>
      </c>
      <c r="E6" s="184"/>
    </row>
    <row r="7" spans="2:11">
      <c r="B7" s="3" t="s">
        <v>164</v>
      </c>
      <c r="C7" s="185">
        <v>4.9099999999999998E-2</v>
      </c>
    </row>
    <row r="8" spans="2:11">
      <c r="B8" s="5" t="s">
        <v>165</v>
      </c>
      <c r="C8" s="29" t="s">
        <v>166</v>
      </c>
      <c r="F8" s="184"/>
    </row>
    <row r="9" spans="2:11">
      <c r="B9" s="4" t="s">
        <v>167</v>
      </c>
      <c r="C9" s="4">
        <v>3.42</v>
      </c>
    </row>
    <row r="10" spans="2:11">
      <c r="B10" s="27" t="s">
        <v>168</v>
      </c>
      <c r="C10" s="225">
        <f>PV(C7/2,C5*2,-C6/2*100,-100)</f>
        <v>69.948884352040068</v>
      </c>
      <c r="D10" s="3" t="str">
        <f ca="1">_xlfn.FORMULATEXT(C10)</f>
        <v>=PV(C7/2,C5*2,-C6/2*100,-100)</v>
      </c>
    </row>
    <row r="11" spans="2:11">
      <c r="B11" s="27" t="s">
        <v>169</v>
      </c>
      <c r="C11" s="226">
        <f>MDURATION(DATE(2025,4,1),DATE(2051,1,1),C6,C7,2)</f>
        <v>16.197544834305884</v>
      </c>
      <c r="D11" s="3" t="str">
        <f ca="1">_xlfn.FORMULATEXT(C11)</f>
        <v>=MDURATION(DATE(2025,4,1),DATE(2051,1,1),C6,C7,2)</v>
      </c>
    </row>
    <row r="12" spans="2:11" ht="17" thickBot="1"/>
    <row r="13" spans="2:11">
      <c r="B13" s="316" t="s">
        <v>170</v>
      </c>
      <c r="C13" s="291" t="s">
        <v>174</v>
      </c>
      <c r="G13" s="231"/>
      <c r="H13" s="232"/>
      <c r="I13" s="232"/>
      <c r="J13" s="232"/>
      <c r="K13" s="233"/>
    </row>
    <row r="14" spans="2:11">
      <c r="B14" s="188" t="s">
        <v>171</v>
      </c>
      <c r="C14" s="227">
        <f>-C11*-1%</f>
        <v>0.16197544834305885</v>
      </c>
      <c r="D14" s="3" t="str">
        <f ca="1">_xlfn.FORMULATEXT(C14)</f>
        <v>=-C11*-1%</v>
      </c>
      <c r="G14" s="234"/>
      <c r="K14" s="235"/>
    </row>
    <row r="15" spans="2:11">
      <c r="B15" s="186" t="s">
        <v>172</v>
      </c>
      <c r="C15" s="228">
        <f>C10*(1+C14)</f>
        <v>81.278886256058527</v>
      </c>
      <c r="D15" s="3" t="str">
        <f t="shared" ref="D15:D17" ca="1" si="0">_xlfn.FORMULATEXT(C15)</f>
        <v>=C10*(1+C14)</v>
      </c>
      <c r="G15" s="234"/>
      <c r="K15" s="235"/>
    </row>
    <row r="16" spans="2:11">
      <c r="B16" s="187" t="s">
        <v>173</v>
      </c>
      <c r="C16" s="229">
        <f>-C11*-1%+1/2*C9*-1%^2</f>
        <v>0.16214644834305886</v>
      </c>
      <c r="D16" s="3" t="str">
        <f t="shared" ca="1" si="0"/>
        <v>=-C11*-1%+1/2*C9*-1%^2</v>
      </c>
      <c r="G16" s="234"/>
      <c r="K16" s="235"/>
    </row>
    <row r="17" spans="2:11">
      <c r="B17" s="187" t="s">
        <v>172</v>
      </c>
      <c r="C17" s="230">
        <f>C10*(1+C16)</f>
        <v>81.290847515282721</v>
      </c>
      <c r="D17" s="3" t="str">
        <f t="shared" ca="1" si="0"/>
        <v>=C10*(1+C16)</v>
      </c>
      <c r="G17" s="234"/>
      <c r="K17" s="235"/>
    </row>
    <row r="18" spans="2:11">
      <c r="B18" s="188"/>
      <c r="G18" s="234"/>
      <c r="K18" s="235"/>
    </row>
    <row r="19" spans="2:11">
      <c r="G19" s="234"/>
      <c r="K19" s="235"/>
    </row>
    <row r="20" spans="2:11" ht="17" thickBot="1">
      <c r="G20" s="236"/>
      <c r="H20" s="237"/>
      <c r="I20" s="237"/>
      <c r="J20" s="237"/>
      <c r="K20" s="238"/>
    </row>
  </sheetData>
  <pageMargins left="0.25" right="0.25" top="0.75" bottom="0.75" header="0.3" footer="0.3"/>
  <pageSetup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8177-B87A-48D7-86CE-FE6B869385B8}">
  <dimension ref="A1:H121"/>
  <sheetViews>
    <sheetView workbookViewId="0">
      <selection activeCell="J14" sqref="J14"/>
    </sheetView>
  </sheetViews>
  <sheetFormatPr baseColWidth="10" defaultColWidth="8.6640625" defaultRowHeight="15"/>
  <cols>
    <col min="1" max="7" width="24.1640625" style="219" customWidth="1"/>
    <col min="8" max="16384" width="8.6640625" style="219"/>
  </cols>
  <sheetData>
    <row r="1" spans="1:8" ht="16" thickBot="1">
      <c r="A1" s="327" t="s">
        <v>337</v>
      </c>
      <c r="B1" s="328" t="s">
        <v>336</v>
      </c>
      <c r="C1" s="328" t="s">
        <v>335</v>
      </c>
      <c r="D1" s="328" t="s">
        <v>334</v>
      </c>
      <c r="E1" s="328" t="s">
        <v>333</v>
      </c>
      <c r="F1" s="328" t="s">
        <v>332</v>
      </c>
      <c r="G1" s="329" t="s">
        <v>331</v>
      </c>
    </row>
    <row r="2" spans="1:8">
      <c r="A2" s="318">
        <v>42125</v>
      </c>
      <c r="B2" s="321">
        <v>109.99</v>
      </c>
      <c r="C2" s="321">
        <v>107.99</v>
      </c>
      <c r="D2" s="321">
        <v>111.02</v>
      </c>
      <c r="E2" s="321">
        <v>105.94</v>
      </c>
      <c r="F2" s="321" t="s">
        <v>330</v>
      </c>
      <c r="G2" s="324">
        <v>2.2499999999999999E-2</v>
      </c>
    </row>
    <row r="3" spans="1:8">
      <c r="A3" s="319">
        <v>42156</v>
      </c>
      <c r="B3" s="322">
        <v>107.01</v>
      </c>
      <c r="C3" s="322">
        <v>110.58</v>
      </c>
      <c r="D3" s="322">
        <v>111.07</v>
      </c>
      <c r="E3" s="322">
        <v>106.58</v>
      </c>
      <c r="F3" s="322" t="s">
        <v>329</v>
      </c>
      <c r="G3" s="325">
        <v>-2.7099999999999999E-2</v>
      </c>
      <c r="H3" s="220"/>
    </row>
    <row r="4" spans="1:8">
      <c r="A4" s="319">
        <v>42186</v>
      </c>
      <c r="B4" s="322">
        <v>111.89</v>
      </c>
      <c r="C4" s="322">
        <v>108.07</v>
      </c>
      <c r="D4" s="322">
        <v>114.33</v>
      </c>
      <c r="E4" s="322">
        <v>105.77</v>
      </c>
      <c r="F4" s="322" t="s">
        <v>328</v>
      </c>
      <c r="G4" s="325">
        <v>4.5600000000000002E-2</v>
      </c>
      <c r="H4" s="220"/>
    </row>
    <row r="5" spans="1:8">
      <c r="A5" s="319">
        <v>42217</v>
      </c>
      <c r="B5" s="322">
        <v>104.25</v>
      </c>
      <c r="C5" s="322">
        <v>111.91</v>
      </c>
      <c r="D5" s="322">
        <v>112.94</v>
      </c>
      <c r="E5" s="322">
        <v>84.7</v>
      </c>
      <c r="F5" s="322" t="s">
        <v>327</v>
      </c>
      <c r="G5" s="325">
        <v>-6.8199999999999997E-2</v>
      </c>
      <c r="H5" s="220"/>
    </row>
    <row r="6" spans="1:8">
      <c r="A6" s="319">
        <v>42248</v>
      </c>
      <c r="B6" s="322">
        <v>101.71</v>
      </c>
      <c r="C6" s="322">
        <v>101.66</v>
      </c>
      <c r="D6" s="322">
        <v>108.67</v>
      </c>
      <c r="E6" s="322">
        <v>98.7</v>
      </c>
      <c r="F6" s="322" t="s">
        <v>326</v>
      </c>
      <c r="G6" s="325">
        <v>-2.4400000000000002E-2</v>
      </c>
      <c r="H6" s="220"/>
    </row>
    <row r="7" spans="1:8">
      <c r="A7" s="319">
        <v>42278</v>
      </c>
      <c r="B7" s="322">
        <v>113.27</v>
      </c>
      <c r="C7" s="322">
        <v>101.89</v>
      </c>
      <c r="D7" s="322">
        <v>114.02</v>
      </c>
      <c r="E7" s="322">
        <v>100.43</v>
      </c>
      <c r="F7" s="322" t="s">
        <v>325</v>
      </c>
      <c r="G7" s="325">
        <v>0.1137</v>
      </c>
      <c r="H7" s="220"/>
    </row>
    <row r="8" spans="1:8">
      <c r="A8" s="319">
        <v>42309</v>
      </c>
      <c r="B8" s="322">
        <v>113.96</v>
      </c>
      <c r="C8" s="322">
        <v>113.57</v>
      </c>
      <c r="D8" s="322">
        <v>115.41</v>
      </c>
      <c r="E8" s="322">
        <v>109.42</v>
      </c>
      <c r="F8" s="322" t="s">
        <v>324</v>
      </c>
      <c r="G8" s="325">
        <v>6.1000000000000004E-3</v>
      </c>
      <c r="H8" s="220"/>
    </row>
    <row r="9" spans="1:8">
      <c r="A9" s="319">
        <v>42339</v>
      </c>
      <c r="B9" s="322">
        <v>111.8</v>
      </c>
      <c r="C9" s="322">
        <v>114.42</v>
      </c>
      <c r="D9" s="322">
        <v>115.69</v>
      </c>
      <c r="E9" s="322">
        <v>109.32</v>
      </c>
      <c r="F9" s="322" t="s">
        <v>323</v>
      </c>
      <c r="G9" s="325">
        <v>-1.89E-2</v>
      </c>
      <c r="H9" s="220"/>
    </row>
    <row r="10" spans="1:8">
      <c r="A10" s="319">
        <v>42370</v>
      </c>
      <c r="B10" s="322">
        <v>104.07</v>
      </c>
      <c r="C10" s="322">
        <v>109.37</v>
      </c>
      <c r="D10" s="322">
        <v>110.12</v>
      </c>
      <c r="E10" s="322">
        <v>97.2</v>
      </c>
      <c r="F10" s="322" t="s">
        <v>322</v>
      </c>
      <c r="G10" s="325">
        <v>-6.9099999999999995E-2</v>
      </c>
      <c r="H10" s="220"/>
    </row>
    <row r="11" spans="1:8">
      <c r="A11" s="319">
        <v>42401</v>
      </c>
      <c r="B11" s="322">
        <v>102.45</v>
      </c>
      <c r="C11" s="322">
        <v>103.57</v>
      </c>
      <c r="D11" s="322">
        <v>104.75</v>
      </c>
      <c r="E11" s="322">
        <v>94.79</v>
      </c>
      <c r="F11" s="322" t="s">
        <v>321</v>
      </c>
      <c r="G11" s="325">
        <v>-1.5699999999999999E-2</v>
      </c>
      <c r="H11" s="220"/>
    </row>
    <row r="12" spans="1:8">
      <c r="A12" s="319">
        <v>42430</v>
      </c>
      <c r="B12" s="322">
        <v>109.14</v>
      </c>
      <c r="C12" s="322">
        <v>103.4</v>
      </c>
      <c r="D12" s="322">
        <v>109.98</v>
      </c>
      <c r="E12" s="322">
        <v>103.11</v>
      </c>
      <c r="F12" s="322" t="s">
        <v>320</v>
      </c>
      <c r="G12" s="325">
        <v>6.54E-2</v>
      </c>
      <c r="H12" s="220"/>
    </row>
    <row r="13" spans="1:8">
      <c r="A13" s="319">
        <v>42461</v>
      </c>
      <c r="B13" s="322">
        <v>105.66</v>
      </c>
      <c r="C13" s="322">
        <v>108.52</v>
      </c>
      <c r="D13" s="322">
        <v>111.38</v>
      </c>
      <c r="E13" s="322">
        <v>104.82</v>
      </c>
      <c r="F13" s="322" t="s">
        <v>319</v>
      </c>
      <c r="G13" s="325">
        <v>-3.1899999999999998E-2</v>
      </c>
      <c r="H13" s="220"/>
    </row>
    <row r="14" spans="1:8">
      <c r="A14" s="319">
        <v>42491</v>
      </c>
      <c r="B14" s="322">
        <v>110.28</v>
      </c>
      <c r="C14" s="322">
        <v>105.91</v>
      </c>
      <c r="D14" s="322">
        <v>110.45</v>
      </c>
      <c r="E14" s="322">
        <v>104.35</v>
      </c>
      <c r="F14" s="322" t="s">
        <v>318</v>
      </c>
      <c r="G14" s="325">
        <v>4.3700000000000003E-2</v>
      </c>
      <c r="H14" s="220"/>
    </row>
    <row r="15" spans="1:8">
      <c r="A15" s="319">
        <v>42522</v>
      </c>
      <c r="B15" s="322">
        <v>107.48</v>
      </c>
      <c r="C15" s="322">
        <v>109.94</v>
      </c>
      <c r="D15" s="322">
        <v>110.69</v>
      </c>
      <c r="E15" s="322">
        <v>101.7</v>
      </c>
      <c r="F15" s="322" t="s">
        <v>317</v>
      </c>
      <c r="G15" s="325">
        <v>-2.5399999999999999E-2</v>
      </c>
      <c r="H15" s="220"/>
    </row>
    <row r="16" spans="1:8">
      <c r="A16" s="319">
        <v>42552</v>
      </c>
      <c r="B16" s="322">
        <v>115.17</v>
      </c>
      <c r="C16" s="322">
        <v>107.43</v>
      </c>
      <c r="D16" s="322">
        <v>115.48</v>
      </c>
      <c r="E16" s="322">
        <v>106.51</v>
      </c>
      <c r="F16" s="322" t="s">
        <v>316</v>
      </c>
      <c r="G16" s="325">
        <v>7.1499999999999994E-2</v>
      </c>
      <c r="H16" s="220"/>
    </row>
    <row r="17" spans="1:8">
      <c r="A17" s="319">
        <v>42583</v>
      </c>
      <c r="B17" s="322">
        <v>116.38</v>
      </c>
      <c r="C17" s="322">
        <v>115.25</v>
      </c>
      <c r="D17" s="322">
        <v>118.72</v>
      </c>
      <c r="E17" s="322">
        <v>114.16</v>
      </c>
      <c r="F17" s="322" t="s">
        <v>315</v>
      </c>
      <c r="G17" s="325">
        <v>1.0500000000000001E-2</v>
      </c>
      <c r="H17" s="220"/>
    </row>
    <row r="18" spans="1:8">
      <c r="A18" s="319">
        <v>42614</v>
      </c>
      <c r="B18" s="322">
        <v>118.66</v>
      </c>
      <c r="C18" s="322">
        <v>116.42</v>
      </c>
      <c r="D18" s="322">
        <v>119.16</v>
      </c>
      <c r="E18" s="322">
        <v>113.57</v>
      </c>
      <c r="F18" s="322" t="s">
        <v>314</v>
      </c>
      <c r="G18" s="325">
        <v>1.9599999999999999E-2</v>
      </c>
      <c r="H18" s="220"/>
    </row>
    <row r="19" spans="1:8">
      <c r="A19" s="319">
        <v>42644</v>
      </c>
      <c r="B19" s="322">
        <v>116.93</v>
      </c>
      <c r="C19" s="322">
        <v>118.47</v>
      </c>
      <c r="D19" s="322">
        <v>119.6</v>
      </c>
      <c r="E19" s="322">
        <v>115.88</v>
      </c>
      <c r="F19" s="322" t="s">
        <v>313</v>
      </c>
      <c r="G19" s="325">
        <v>-1.46E-2</v>
      </c>
      <c r="H19" s="220"/>
    </row>
    <row r="20" spans="1:8">
      <c r="A20" s="319">
        <v>42675</v>
      </c>
      <c r="B20" s="322">
        <v>117.44</v>
      </c>
      <c r="C20" s="322">
        <v>117.13</v>
      </c>
      <c r="D20" s="322">
        <v>119.45</v>
      </c>
      <c r="E20" s="322">
        <v>113.39</v>
      </c>
      <c r="F20" s="322" t="s">
        <v>312</v>
      </c>
      <c r="G20" s="325">
        <v>4.4000000000000003E-3</v>
      </c>
      <c r="H20" s="220"/>
    </row>
    <row r="21" spans="1:8">
      <c r="A21" s="319">
        <v>42705</v>
      </c>
      <c r="B21" s="322">
        <v>118.42</v>
      </c>
      <c r="C21" s="322">
        <v>117.4</v>
      </c>
      <c r="D21" s="322">
        <v>121.46</v>
      </c>
      <c r="E21" s="322">
        <v>115.16</v>
      </c>
      <c r="F21" s="322" t="s">
        <v>311</v>
      </c>
      <c r="G21" s="325">
        <v>8.3000000000000001E-3</v>
      </c>
      <c r="H21" s="220"/>
    </row>
    <row r="22" spans="1:8">
      <c r="A22" s="319">
        <v>42736</v>
      </c>
      <c r="B22" s="322">
        <v>124.5</v>
      </c>
      <c r="C22" s="322">
        <v>119.25</v>
      </c>
      <c r="D22" s="322">
        <v>125.86</v>
      </c>
      <c r="E22" s="322">
        <v>118.83</v>
      </c>
      <c r="F22" s="322" t="s">
        <v>310</v>
      </c>
      <c r="G22" s="325">
        <v>5.1400000000000001E-2</v>
      </c>
      <c r="H22" s="220"/>
    </row>
    <row r="23" spans="1:8">
      <c r="A23" s="319">
        <v>42767</v>
      </c>
      <c r="B23" s="322">
        <v>129.94999999999999</v>
      </c>
      <c r="C23" s="322">
        <v>125.35</v>
      </c>
      <c r="D23" s="322">
        <v>130.63</v>
      </c>
      <c r="E23" s="322">
        <v>124.79</v>
      </c>
      <c r="F23" s="322" t="s">
        <v>309</v>
      </c>
      <c r="G23" s="325">
        <v>4.3700000000000003E-2</v>
      </c>
      <c r="H23" s="220"/>
    </row>
    <row r="24" spans="1:8">
      <c r="A24" s="319">
        <v>42795</v>
      </c>
      <c r="B24" s="322">
        <v>132.31</v>
      </c>
      <c r="C24" s="322">
        <v>130.74</v>
      </c>
      <c r="D24" s="322">
        <v>132.66999999999999</v>
      </c>
      <c r="E24" s="322">
        <v>129.33000000000001</v>
      </c>
      <c r="F24" s="322" t="s">
        <v>308</v>
      </c>
      <c r="G24" s="325">
        <v>1.8200000000000001E-2</v>
      </c>
      <c r="H24" s="220"/>
    </row>
    <row r="25" spans="1:8">
      <c r="A25" s="319">
        <v>42826</v>
      </c>
      <c r="B25" s="322">
        <v>135.91999999999999</v>
      </c>
      <c r="C25" s="322">
        <v>132.41</v>
      </c>
      <c r="D25" s="322">
        <v>136.27000000000001</v>
      </c>
      <c r="E25" s="322">
        <v>130.31</v>
      </c>
      <c r="F25" s="322" t="s">
        <v>307</v>
      </c>
      <c r="G25" s="325">
        <v>2.7300000000000001E-2</v>
      </c>
      <c r="H25" s="220"/>
    </row>
    <row r="26" spans="1:8">
      <c r="A26" s="319">
        <v>42856</v>
      </c>
      <c r="B26" s="322">
        <v>141.22</v>
      </c>
      <c r="C26" s="322">
        <v>136.38999999999999</v>
      </c>
      <c r="D26" s="322">
        <v>141.77000000000001</v>
      </c>
      <c r="E26" s="322">
        <v>135.80000000000001</v>
      </c>
      <c r="F26" s="322" t="s">
        <v>306</v>
      </c>
      <c r="G26" s="325">
        <v>3.9E-2</v>
      </c>
      <c r="H26" s="220"/>
    </row>
    <row r="27" spans="1:8">
      <c r="A27" s="319">
        <v>42887</v>
      </c>
      <c r="B27" s="322">
        <v>137.57</v>
      </c>
      <c r="C27" s="322">
        <v>141.5</v>
      </c>
      <c r="D27" s="322">
        <v>143.82</v>
      </c>
      <c r="E27" s="322">
        <v>136.18</v>
      </c>
      <c r="F27" s="322" t="s">
        <v>305</v>
      </c>
      <c r="G27" s="325">
        <v>-2.58E-2</v>
      </c>
      <c r="H27" s="220"/>
    </row>
    <row r="28" spans="1:8">
      <c r="A28" s="319">
        <v>42917</v>
      </c>
      <c r="B28" s="322">
        <v>143.15</v>
      </c>
      <c r="C28" s="322">
        <v>138.18</v>
      </c>
      <c r="D28" s="322">
        <v>145.88</v>
      </c>
      <c r="E28" s="322">
        <v>135.72999999999999</v>
      </c>
      <c r="F28" s="322" t="s">
        <v>304</v>
      </c>
      <c r="G28" s="325">
        <v>4.0599999999999997E-2</v>
      </c>
      <c r="H28" s="220"/>
    </row>
    <row r="29" spans="1:8">
      <c r="A29" s="319">
        <v>42948</v>
      </c>
      <c r="B29" s="322">
        <v>146.12</v>
      </c>
      <c r="C29" s="322">
        <v>143.63</v>
      </c>
      <c r="D29" s="322">
        <v>146.13</v>
      </c>
      <c r="E29" s="322">
        <v>140.11000000000001</v>
      </c>
      <c r="F29" s="322" t="s">
        <v>303</v>
      </c>
      <c r="G29" s="325">
        <v>2.07E-2</v>
      </c>
      <c r="H29" s="220"/>
    </row>
    <row r="30" spans="1:8">
      <c r="A30" s="319">
        <v>42979</v>
      </c>
      <c r="B30" s="322">
        <v>145.37</v>
      </c>
      <c r="C30" s="322">
        <v>146.28</v>
      </c>
      <c r="D30" s="322">
        <v>146.51</v>
      </c>
      <c r="E30" s="322">
        <v>142.02000000000001</v>
      </c>
      <c r="F30" s="322" t="s">
        <v>302</v>
      </c>
      <c r="G30" s="325">
        <v>-5.1000000000000004E-3</v>
      </c>
      <c r="H30" s="220"/>
    </row>
    <row r="31" spans="1:8">
      <c r="A31" s="319">
        <v>43009</v>
      </c>
      <c r="B31" s="322">
        <v>152.07</v>
      </c>
      <c r="C31" s="322">
        <v>145.59</v>
      </c>
      <c r="D31" s="322">
        <v>152.29</v>
      </c>
      <c r="E31" s="322">
        <v>144.85</v>
      </c>
      <c r="F31" s="322" t="s">
        <v>301</v>
      </c>
      <c r="G31" s="325">
        <v>4.6100000000000002E-2</v>
      </c>
      <c r="H31" s="220"/>
    </row>
    <row r="32" spans="1:8">
      <c r="A32" s="319">
        <v>43040</v>
      </c>
      <c r="B32" s="322">
        <v>155.07</v>
      </c>
      <c r="C32" s="322">
        <v>152.66999999999999</v>
      </c>
      <c r="D32" s="322">
        <v>156.61000000000001</v>
      </c>
      <c r="E32" s="322">
        <v>150.69</v>
      </c>
      <c r="F32" s="322" t="s">
        <v>300</v>
      </c>
      <c r="G32" s="325">
        <v>1.9699999999999999E-2</v>
      </c>
      <c r="H32" s="220"/>
    </row>
    <row r="33" spans="1:8">
      <c r="A33" s="319">
        <v>43070</v>
      </c>
      <c r="B33" s="322">
        <v>155.68</v>
      </c>
      <c r="C33" s="322">
        <v>154.11000000000001</v>
      </c>
      <c r="D33" s="322">
        <v>158.69</v>
      </c>
      <c r="E33" s="322">
        <v>151.97999999999999</v>
      </c>
      <c r="F33" s="322" t="s">
        <v>299</v>
      </c>
      <c r="G33" s="325">
        <v>3.8999999999999998E-3</v>
      </c>
      <c r="H33" s="220"/>
    </row>
    <row r="34" spans="1:8">
      <c r="A34" s="319">
        <v>43101</v>
      </c>
      <c r="B34" s="322">
        <v>169.31</v>
      </c>
      <c r="C34" s="322">
        <v>156.41999999999999</v>
      </c>
      <c r="D34" s="322">
        <v>170.86</v>
      </c>
      <c r="E34" s="322">
        <v>156.09</v>
      </c>
      <c r="F34" s="322" t="s">
        <v>298</v>
      </c>
      <c r="G34" s="325">
        <v>8.7599999999999997E-2</v>
      </c>
      <c r="H34" s="220"/>
    </row>
    <row r="35" spans="1:8">
      <c r="A35" s="319">
        <v>43132</v>
      </c>
      <c r="B35" s="322">
        <v>167.12</v>
      </c>
      <c r="C35" s="322">
        <v>168.03</v>
      </c>
      <c r="D35" s="322">
        <v>170.64</v>
      </c>
      <c r="E35" s="322">
        <v>150.05000000000001</v>
      </c>
      <c r="F35" s="322" t="s">
        <v>249</v>
      </c>
      <c r="G35" s="325">
        <v>-1.29E-2</v>
      </c>
      <c r="H35" s="220"/>
    </row>
    <row r="36" spans="1:8">
      <c r="A36" s="319">
        <v>43160</v>
      </c>
      <c r="B36" s="322">
        <v>160.05000000000001</v>
      </c>
      <c r="C36" s="322">
        <v>167.2</v>
      </c>
      <c r="D36" s="322">
        <v>175.12</v>
      </c>
      <c r="E36" s="322">
        <v>155.96</v>
      </c>
      <c r="F36" s="322" t="s">
        <v>244</v>
      </c>
      <c r="G36" s="325">
        <v>-4.2299999999999997E-2</v>
      </c>
      <c r="H36" s="220"/>
    </row>
    <row r="37" spans="1:8">
      <c r="A37" s="319">
        <v>43191</v>
      </c>
      <c r="B37" s="322">
        <v>160.86000000000001</v>
      </c>
      <c r="C37" s="322">
        <v>158.91999999999999</v>
      </c>
      <c r="D37" s="322">
        <v>166.91</v>
      </c>
      <c r="E37" s="322">
        <v>153.80000000000001</v>
      </c>
      <c r="F37" s="322" t="s">
        <v>297</v>
      </c>
      <c r="G37" s="325">
        <v>5.1000000000000004E-3</v>
      </c>
      <c r="H37" s="220"/>
    </row>
    <row r="38" spans="1:8">
      <c r="A38" s="319">
        <v>43221</v>
      </c>
      <c r="B38" s="322">
        <v>169.98</v>
      </c>
      <c r="C38" s="322">
        <v>160.44</v>
      </c>
      <c r="D38" s="322">
        <v>171.11</v>
      </c>
      <c r="E38" s="322">
        <v>159.13999999999999</v>
      </c>
      <c r="F38" s="322" t="s">
        <v>296</v>
      </c>
      <c r="G38" s="325">
        <v>5.67E-2</v>
      </c>
      <c r="H38" s="220"/>
    </row>
    <row r="39" spans="1:8">
      <c r="A39" s="319">
        <v>43252</v>
      </c>
      <c r="B39" s="322">
        <v>171.56</v>
      </c>
      <c r="C39" s="322">
        <v>170.79</v>
      </c>
      <c r="D39" s="322">
        <v>177.89</v>
      </c>
      <c r="E39" s="322">
        <v>169.08</v>
      </c>
      <c r="F39" s="322" t="s">
        <v>295</v>
      </c>
      <c r="G39" s="325">
        <v>9.2999999999999992E-3</v>
      </c>
      <c r="H39" s="220"/>
    </row>
    <row r="40" spans="1:8">
      <c r="A40" s="319">
        <v>43282</v>
      </c>
      <c r="B40" s="322">
        <v>176.36</v>
      </c>
      <c r="C40" s="322">
        <v>169.95</v>
      </c>
      <c r="D40" s="322">
        <v>182.83</v>
      </c>
      <c r="E40" s="322">
        <v>169.58</v>
      </c>
      <c r="F40" s="322" t="s">
        <v>294</v>
      </c>
      <c r="G40" s="325">
        <v>2.8000000000000001E-2</v>
      </c>
      <c r="H40" s="220"/>
    </row>
    <row r="41" spans="1:8">
      <c r="A41" s="319">
        <v>43313</v>
      </c>
      <c r="B41" s="322">
        <v>186.55</v>
      </c>
      <c r="C41" s="322">
        <v>176.78</v>
      </c>
      <c r="D41" s="322">
        <v>187.42</v>
      </c>
      <c r="E41" s="322">
        <v>175.7</v>
      </c>
      <c r="F41" s="322" t="s">
        <v>293</v>
      </c>
      <c r="G41" s="325">
        <v>5.7799999999999997E-2</v>
      </c>
      <c r="H41" s="220"/>
    </row>
    <row r="42" spans="1:8">
      <c r="A42" s="319">
        <v>43344</v>
      </c>
      <c r="B42" s="322">
        <v>185.69</v>
      </c>
      <c r="C42" s="322">
        <v>186</v>
      </c>
      <c r="D42" s="322">
        <v>186.39</v>
      </c>
      <c r="E42" s="322">
        <v>180.35</v>
      </c>
      <c r="F42" s="322" t="s">
        <v>292</v>
      </c>
      <c r="G42" s="325">
        <v>-4.5999999999999999E-3</v>
      </c>
      <c r="H42" s="220"/>
    </row>
    <row r="43" spans="1:8">
      <c r="A43" s="319">
        <v>43374</v>
      </c>
      <c r="B43" s="322">
        <v>169.73</v>
      </c>
      <c r="C43" s="322">
        <v>186.72</v>
      </c>
      <c r="D43" s="322">
        <v>187.43</v>
      </c>
      <c r="E43" s="322">
        <v>160.01</v>
      </c>
      <c r="F43" s="322" t="s">
        <v>291</v>
      </c>
      <c r="G43" s="325">
        <v>-8.5999999999999993E-2</v>
      </c>
      <c r="H43" s="220"/>
    </row>
    <row r="44" spans="1:8">
      <c r="A44" s="319">
        <v>43405</v>
      </c>
      <c r="B44" s="322">
        <v>169.28</v>
      </c>
      <c r="C44" s="322">
        <v>169.99</v>
      </c>
      <c r="D44" s="322">
        <v>175.49</v>
      </c>
      <c r="E44" s="322">
        <v>157.05000000000001</v>
      </c>
      <c r="F44" s="322" t="s">
        <v>241</v>
      </c>
      <c r="G44" s="325">
        <v>-2.7000000000000001E-3</v>
      </c>
      <c r="H44" s="220"/>
    </row>
    <row r="45" spans="1:8">
      <c r="A45" s="319">
        <v>43435</v>
      </c>
      <c r="B45" s="322">
        <v>154.18</v>
      </c>
      <c r="C45" s="322">
        <v>173.01</v>
      </c>
      <c r="D45" s="322">
        <v>173.22</v>
      </c>
      <c r="E45" s="322">
        <v>143.38</v>
      </c>
      <c r="F45" s="322" t="s">
        <v>290</v>
      </c>
      <c r="G45" s="325">
        <v>-8.9200000000000002E-2</v>
      </c>
      <c r="H45" s="220"/>
    </row>
    <row r="46" spans="1:8">
      <c r="A46" s="319">
        <v>43466</v>
      </c>
      <c r="B46" s="322">
        <v>168.07</v>
      </c>
      <c r="C46" s="322">
        <v>150.91</v>
      </c>
      <c r="D46" s="322">
        <v>168.9</v>
      </c>
      <c r="E46" s="322">
        <v>149.41</v>
      </c>
      <c r="F46" s="322" t="s">
        <v>289</v>
      </c>
      <c r="G46" s="325">
        <v>9.01E-2</v>
      </c>
      <c r="H46" s="220"/>
    </row>
    <row r="47" spans="1:8">
      <c r="A47" s="319">
        <v>43497</v>
      </c>
      <c r="B47" s="322">
        <v>173.1</v>
      </c>
      <c r="C47" s="322">
        <v>167.28</v>
      </c>
      <c r="D47" s="322">
        <v>174.57</v>
      </c>
      <c r="E47" s="322">
        <v>166.48</v>
      </c>
      <c r="F47" s="322" t="s">
        <v>288</v>
      </c>
      <c r="G47" s="325">
        <v>2.9899999999999999E-2</v>
      </c>
      <c r="H47" s="220"/>
    </row>
    <row r="48" spans="1:8">
      <c r="A48" s="319">
        <v>43525</v>
      </c>
      <c r="B48" s="322">
        <v>179.57</v>
      </c>
      <c r="C48" s="322">
        <v>174.32</v>
      </c>
      <c r="D48" s="322">
        <v>182.73</v>
      </c>
      <c r="E48" s="322">
        <v>169.25</v>
      </c>
      <c r="F48" s="322" t="s">
        <v>287</v>
      </c>
      <c r="G48" s="325">
        <v>3.7400000000000003E-2</v>
      </c>
      <c r="H48" s="220"/>
    </row>
    <row r="49" spans="1:8">
      <c r="A49" s="319">
        <v>43556</v>
      </c>
      <c r="B49" s="322">
        <v>189.44</v>
      </c>
      <c r="C49" s="322">
        <v>181.32</v>
      </c>
      <c r="D49" s="322">
        <v>191.22</v>
      </c>
      <c r="E49" s="322">
        <v>180.68</v>
      </c>
      <c r="F49" s="322" t="s">
        <v>286</v>
      </c>
      <c r="G49" s="325">
        <v>5.5E-2</v>
      </c>
      <c r="H49" s="220"/>
    </row>
    <row r="50" spans="1:8">
      <c r="A50" s="319">
        <v>43586</v>
      </c>
      <c r="B50" s="322">
        <v>173.86</v>
      </c>
      <c r="C50" s="322">
        <v>190.66</v>
      </c>
      <c r="D50" s="322">
        <v>191.22</v>
      </c>
      <c r="E50" s="322">
        <v>173.78</v>
      </c>
      <c r="F50" s="322" t="s">
        <v>285</v>
      </c>
      <c r="G50" s="325">
        <v>-8.2199999999999995E-2</v>
      </c>
      <c r="H50" s="220"/>
    </row>
    <row r="51" spans="1:8">
      <c r="A51" s="319">
        <v>43617</v>
      </c>
      <c r="B51" s="322">
        <v>186.64</v>
      </c>
      <c r="C51" s="322">
        <v>173.43</v>
      </c>
      <c r="D51" s="322">
        <v>189.67</v>
      </c>
      <c r="E51" s="322">
        <v>169.18</v>
      </c>
      <c r="F51" s="322" t="s">
        <v>284</v>
      </c>
      <c r="G51" s="325">
        <v>7.3499999999999996E-2</v>
      </c>
      <c r="H51" s="220"/>
    </row>
    <row r="52" spans="1:8">
      <c r="A52" s="319">
        <v>43647</v>
      </c>
      <c r="B52" s="322">
        <v>191</v>
      </c>
      <c r="C52" s="322">
        <v>190.2</v>
      </c>
      <c r="D52" s="322">
        <v>195.45</v>
      </c>
      <c r="E52" s="322">
        <v>188.28</v>
      </c>
      <c r="F52" s="322" t="s">
        <v>283</v>
      </c>
      <c r="G52" s="325">
        <v>2.3300000000000001E-2</v>
      </c>
      <c r="H52" s="220"/>
    </row>
    <row r="53" spans="1:8">
      <c r="A53" s="319">
        <v>43678</v>
      </c>
      <c r="B53" s="322">
        <v>187.37</v>
      </c>
      <c r="C53" s="322">
        <v>191.41</v>
      </c>
      <c r="D53" s="322">
        <v>194.88</v>
      </c>
      <c r="E53" s="322">
        <v>179.11</v>
      </c>
      <c r="F53" s="322" t="s">
        <v>282</v>
      </c>
      <c r="G53" s="325">
        <v>-1.9E-2</v>
      </c>
      <c r="H53" s="220"/>
    </row>
    <row r="54" spans="1:8">
      <c r="A54" s="319">
        <v>43709</v>
      </c>
      <c r="B54" s="322">
        <v>188.71</v>
      </c>
      <c r="C54" s="322">
        <v>186.16</v>
      </c>
      <c r="D54" s="322">
        <v>194.61</v>
      </c>
      <c r="E54" s="322">
        <v>184.93</v>
      </c>
      <c r="F54" s="322" t="s">
        <v>281</v>
      </c>
      <c r="G54" s="325">
        <v>7.1000000000000004E-3</v>
      </c>
      <c r="H54" s="220"/>
    </row>
    <row r="55" spans="1:8">
      <c r="A55" s="319">
        <v>43739</v>
      </c>
      <c r="B55" s="322">
        <v>196.98</v>
      </c>
      <c r="C55" s="322">
        <v>189.44</v>
      </c>
      <c r="D55" s="322">
        <v>197.73</v>
      </c>
      <c r="E55" s="322">
        <v>181.73</v>
      </c>
      <c r="F55" s="322" t="s">
        <v>280</v>
      </c>
      <c r="G55" s="325">
        <v>4.3799999999999999E-2</v>
      </c>
      <c r="H55" s="220"/>
    </row>
    <row r="56" spans="1:8">
      <c r="A56" s="319">
        <v>43770</v>
      </c>
      <c r="B56" s="322">
        <v>204.99</v>
      </c>
      <c r="C56" s="322">
        <v>197.83</v>
      </c>
      <c r="D56" s="322">
        <v>205.94</v>
      </c>
      <c r="E56" s="322">
        <v>197.53</v>
      </c>
      <c r="F56" s="322" t="s">
        <v>279</v>
      </c>
      <c r="G56" s="325">
        <v>4.07E-2</v>
      </c>
      <c r="H56" s="220"/>
    </row>
    <row r="57" spans="1:8">
      <c r="A57" s="319">
        <v>43800</v>
      </c>
      <c r="B57" s="322">
        <v>212.5</v>
      </c>
      <c r="C57" s="322">
        <v>205</v>
      </c>
      <c r="D57" s="322">
        <v>214.45</v>
      </c>
      <c r="E57" s="322">
        <v>193.68</v>
      </c>
      <c r="F57" s="322" t="s">
        <v>278</v>
      </c>
      <c r="G57" s="325">
        <v>3.6600000000000001E-2</v>
      </c>
      <c r="H57" s="220"/>
    </row>
    <row r="58" spans="1:8">
      <c r="A58" s="319">
        <v>43831</v>
      </c>
      <c r="B58" s="322">
        <v>218.96</v>
      </c>
      <c r="C58" s="322">
        <v>214.29</v>
      </c>
      <c r="D58" s="322">
        <v>225.76</v>
      </c>
      <c r="E58" s="322">
        <v>212.13</v>
      </c>
      <c r="F58" s="322" t="s">
        <v>277</v>
      </c>
      <c r="G58" s="325">
        <v>3.04E-2</v>
      </c>
      <c r="H58" s="220"/>
    </row>
    <row r="59" spans="1:8">
      <c r="A59" s="319">
        <v>43862</v>
      </c>
      <c r="B59" s="322">
        <v>205.69</v>
      </c>
      <c r="C59" s="322">
        <v>220.02</v>
      </c>
      <c r="D59" s="322">
        <v>237.35</v>
      </c>
      <c r="E59" s="322">
        <v>198.07</v>
      </c>
      <c r="F59" s="322" t="s">
        <v>276</v>
      </c>
      <c r="G59" s="325">
        <v>-6.0600000000000001E-2</v>
      </c>
      <c r="H59" s="220"/>
    </row>
    <row r="60" spans="1:8">
      <c r="A60" s="319">
        <v>43891</v>
      </c>
      <c r="B60" s="322">
        <v>190.3</v>
      </c>
      <c r="C60" s="322">
        <v>208.77</v>
      </c>
      <c r="D60" s="322">
        <v>219.49</v>
      </c>
      <c r="E60" s="322">
        <v>164.84</v>
      </c>
      <c r="F60" s="322" t="s">
        <v>275</v>
      </c>
      <c r="G60" s="325">
        <v>-7.4800000000000005E-2</v>
      </c>
      <c r="H60" s="220"/>
    </row>
    <row r="61" spans="1:8">
      <c r="A61" s="319">
        <v>43922</v>
      </c>
      <c r="B61" s="322">
        <v>218.79</v>
      </c>
      <c r="C61" s="322">
        <v>184.71</v>
      </c>
      <c r="D61" s="322">
        <v>219.92</v>
      </c>
      <c r="E61" s="322">
        <v>180.76</v>
      </c>
      <c r="F61" s="322" t="s">
        <v>244</v>
      </c>
      <c r="G61" s="325">
        <v>0.1497</v>
      </c>
      <c r="H61" s="220"/>
    </row>
    <row r="62" spans="1:8">
      <c r="A62" s="319">
        <v>43952</v>
      </c>
      <c r="B62" s="322">
        <v>233.24</v>
      </c>
      <c r="C62" s="322">
        <v>214.43</v>
      </c>
      <c r="D62" s="322">
        <v>233.48</v>
      </c>
      <c r="E62" s="322">
        <v>211.01</v>
      </c>
      <c r="F62" s="322" t="s">
        <v>274</v>
      </c>
      <c r="G62" s="325">
        <v>6.6000000000000003E-2</v>
      </c>
      <c r="H62" s="220"/>
    </row>
    <row r="63" spans="1:8">
      <c r="A63" s="319">
        <v>43983</v>
      </c>
      <c r="B63" s="322">
        <v>247.47</v>
      </c>
      <c r="C63" s="322">
        <v>232.28</v>
      </c>
      <c r="D63" s="322">
        <v>251.02</v>
      </c>
      <c r="E63" s="322">
        <v>231.35</v>
      </c>
      <c r="F63" s="322" t="s">
        <v>273</v>
      </c>
      <c r="G63" s="325">
        <v>6.0999999999999999E-2</v>
      </c>
      <c r="H63" s="220"/>
    </row>
    <row r="64" spans="1:8">
      <c r="A64" s="319">
        <v>44013</v>
      </c>
      <c r="B64" s="322">
        <v>265.64999999999998</v>
      </c>
      <c r="C64" s="322">
        <v>247.53</v>
      </c>
      <c r="D64" s="322">
        <v>269.64999999999998</v>
      </c>
      <c r="E64" s="322">
        <v>246.95</v>
      </c>
      <c r="F64" s="322" t="s">
        <v>272</v>
      </c>
      <c r="G64" s="325">
        <v>7.3499999999999996E-2</v>
      </c>
      <c r="H64" s="220"/>
    </row>
    <row r="65" spans="1:8">
      <c r="A65" s="319">
        <v>44044</v>
      </c>
      <c r="B65" s="322">
        <v>294.73</v>
      </c>
      <c r="C65" s="322">
        <v>267.91000000000003</v>
      </c>
      <c r="D65" s="322">
        <v>296.58999999999997</v>
      </c>
      <c r="E65" s="322">
        <v>264.49</v>
      </c>
      <c r="F65" s="322" t="s">
        <v>271</v>
      </c>
      <c r="G65" s="325">
        <v>0.1094</v>
      </c>
      <c r="H65" s="220"/>
    </row>
    <row r="66" spans="1:8">
      <c r="A66" s="319">
        <v>44075</v>
      </c>
      <c r="B66" s="322">
        <v>277.69</v>
      </c>
      <c r="C66" s="322">
        <v>297.44</v>
      </c>
      <c r="D66" s="322">
        <v>303.33999999999997</v>
      </c>
      <c r="E66" s="322">
        <v>259.97000000000003</v>
      </c>
      <c r="F66" s="322" t="s">
        <v>270</v>
      </c>
      <c r="G66" s="325">
        <v>-5.7799999999999997E-2</v>
      </c>
      <c r="H66" s="220"/>
    </row>
    <row r="67" spans="1:8">
      <c r="A67" s="319">
        <v>44105</v>
      </c>
      <c r="B67" s="322">
        <v>269.24</v>
      </c>
      <c r="C67" s="322">
        <v>281.64</v>
      </c>
      <c r="D67" s="322">
        <v>297.3</v>
      </c>
      <c r="E67" s="322">
        <v>266.93</v>
      </c>
      <c r="F67" s="322" t="s">
        <v>269</v>
      </c>
      <c r="G67" s="325">
        <v>-3.04E-2</v>
      </c>
      <c r="H67" s="220"/>
    </row>
    <row r="68" spans="1:8">
      <c r="A68" s="319">
        <v>44136</v>
      </c>
      <c r="B68" s="322">
        <v>299.45999999999998</v>
      </c>
      <c r="C68" s="322">
        <v>271.58999999999997</v>
      </c>
      <c r="D68" s="322">
        <v>300.01</v>
      </c>
      <c r="E68" s="322">
        <v>266.83</v>
      </c>
      <c r="F68" s="322" t="s">
        <v>268</v>
      </c>
      <c r="G68" s="325">
        <v>0.1123</v>
      </c>
      <c r="H68" s="220"/>
    </row>
    <row r="69" spans="1:8">
      <c r="A69" s="319">
        <v>44166</v>
      </c>
      <c r="B69" s="322">
        <v>313.58</v>
      </c>
      <c r="C69" s="322">
        <v>301.70999999999998</v>
      </c>
      <c r="D69" s="322">
        <v>314.52</v>
      </c>
      <c r="E69" s="322">
        <v>297.93</v>
      </c>
      <c r="F69" s="322" t="s">
        <v>267</v>
      </c>
      <c r="G69" s="325">
        <v>4.7100000000000003E-2</v>
      </c>
      <c r="H69" s="220"/>
    </row>
    <row r="70" spans="1:8">
      <c r="A70" s="319">
        <v>44197</v>
      </c>
      <c r="B70" s="322">
        <v>314.39</v>
      </c>
      <c r="C70" s="322">
        <v>314.95</v>
      </c>
      <c r="D70" s="322">
        <v>330.15</v>
      </c>
      <c r="E70" s="322">
        <v>305.02</v>
      </c>
      <c r="F70" s="322" t="s">
        <v>266</v>
      </c>
      <c r="G70" s="325">
        <v>2.5999999999999999E-3</v>
      </c>
      <c r="H70" s="220"/>
    </row>
    <row r="71" spans="1:8">
      <c r="A71" s="319">
        <v>44228</v>
      </c>
      <c r="B71" s="322">
        <v>313.98</v>
      </c>
      <c r="C71" s="322">
        <v>317.94</v>
      </c>
      <c r="D71" s="322">
        <v>338.01</v>
      </c>
      <c r="E71" s="322">
        <v>310.72000000000003</v>
      </c>
      <c r="F71" s="322" t="s">
        <v>265</v>
      </c>
      <c r="G71" s="325">
        <v>-1.2999999999999999E-3</v>
      </c>
      <c r="H71" s="220"/>
    </row>
    <row r="72" spans="1:8">
      <c r="A72" s="319">
        <v>44256</v>
      </c>
      <c r="B72" s="322">
        <v>318.95999999999998</v>
      </c>
      <c r="C72" s="322">
        <v>319.10000000000002</v>
      </c>
      <c r="D72" s="322">
        <v>324.16000000000003</v>
      </c>
      <c r="E72" s="322">
        <v>297.29000000000002</v>
      </c>
      <c r="F72" s="322" t="s">
        <v>264</v>
      </c>
      <c r="G72" s="325">
        <v>1.5900000000000001E-2</v>
      </c>
      <c r="H72" s="220"/>
    </row>
    <row r="73" spans="1:8">
      <c r="A73" s="319">
        <v>44287</v>
      </c>
      <c r="B73" s="322">
        <v>337.81</v>
      </c>
      <c r="C73" s="322">
        <v>322.89999999999998</v>
      </c>
      <c r="D73" s="322">
        <v>342.62</v>
      </c>
      <c r="E73" s="322">
        <v>322.64</v>
      </c>
      <c r="F73" s="322" t="s">
        <v>263</v>
      </c>
      <c r="G73" s="325">
        <v>5.91E-2</v>
      </c>
      <c r="H73" s="220"/>
    </row>
    <row r="74" spans="1:8">
      <c r="A74" s="319">
        <v>44317</v>
      </c>
      <c r="B74" s="322">
        <v>333.76</v>
      </c>
      <c r="C74" s="322">
        <v>339.05</v>
      </c>
      <c r="D74" s="322">
        <v>339.82</v>
      </c>
      <c r="E74" s="322">
        <v>315.83</v>
      </c>
      <c r="F74" s="322" t="s">
        <v>262</v>
      </c>
      <c r="G74" s="325">
        <v>-1.2E-2</v>
      </c>
      <c r="H74" s="220"/>
    </row>
    <row r="75" spans="1:8">
      <c r="A75" s="319">
        <v>44348</v>
      </c>
      <c r="B75" s="322">
        <v>354.24</v>
      </c>
      <c r="C75" s="322">
        <v>335.12</v>
      </c>
      <c r="D75" s="322">
        <v>355.04</v>
      </c>
      <c r="E75" s="322">
        <v>328.11</v>
      </c>
      <c r="F75" s="322" t="s">
        <v>261</v>
      </c>
      <c r="G75" s="325">
        <v>6.1400000000000003E-2</v>
      </c>
      <c r="H75" s="220"/>
    </row>
    <row r="76" spans="1:8">
      <c r="A76" s="319">
        <v>44378</v>
      </c>
      <c r="B76" s="322">
        <v>364.38</v>
      </c>
      <c r="C76" s="322">
        <v>353.88</v>
      </c>
      <c r="D76" s="322">
        <v>368.7</v>
      </c>
      <c r="E76" s="322">
        <v>351.86</v>
      </c>
      <c r="F76" s="322" t="s">
        <v>260</v>
      </c>
      <c r="G76" s="325">
        <v>2.86E-2</v>
      </c>
      <c r="H76" s="220"/>
    </row>
    <row r="77" spans="1:8">
      <c r="A77" s="319">
        <v>44409</v>
      </c>
      <c r="B77" s="322">
        <v>379.75</v>
      </c>
      <c r="C77" s="322">
        <v>366.09</v>
      </c>
      <c r="D77" s="322">
        <v>380.56</v>
      </c>
      <c r="E77" s="322">
        <v>359.77</v>
      </c>
      <c r="F77" s="322" t="s">
        <v>259</v>
      </c>
      <c r="G77" s="325">
        <v>4.2200000000000001E-2</v>
      </c>
      <c r="H77" s="220"/>
    </row>
    <row r="78" spans="1:8">
      <c r="A78" s="319">
        <v>44440</v>
      </c>
      <c r="B78" s="322">
        <v>357.77</v>
      </c>
      <c r="C78" s="322">
        <v>380.84</v>
      </c>
      <c r="D78" s="322">
        <v>382.58</v>
      </c>
      <c r="E78" s="322">
        <v>356.91</v>
      </c>
      <c r="F78" s="322" t="s">
        <v>258</v>
      </c>
      <c r="G78" s="325">
        <v>-5.79E-2</v>
      </c>
      <c r="H78" s="220"/>
    </row>
    <row r="79" spans="1:8">
      <c r="A79" s="319">
        <v>44470</v>
      </c>
      <c r="B79" s="322">
        <v>385.91</v>
      </c>
      <c r="C79" s="322">
        <v>358.41</v>
      </c>
      <c r="D79" s="322">
        <v>386.08</v>
      </c>
      <c r="E79" s="322">
        <v>350.14</v>
      </c>
      <c r="F79" s="322" t="s">
        <v>257</v>
      </c>
      <c r="G79" s="325">
        <v>7.8600000000000003E-2</v>
      </c>
      <c r="H79" s="220"/>
    </row>
    <row r="80" spans="1:8">
      <c r="A80" s="319">
        <v>44501</v>
      </c>
      <c r="B80" s="322">
        <v>393.61</v>
      </c>
      <c r="C80" s="322">
        <v>386.36</v>
      </c>
      <c r="D80" s="322">
        <v>408.49</v>
      </c>
      <c r="E80" s="322">
        <v>384.22</v>
      </c>
      <c r="F80" s="322" t="s">
        <v>256</v>
      </c>
      <c r="G80" s="325">
        <v>0.02</v>
      </c>
      <c r="H80" s="220"/>
    </row>
    <row r="81" spans="1:8">
      <c r="A81" s="319">
        <v>44531</v>
      </c>
      <c r="B81" s="322">
        <v>397.64</v>
      </c>
      <c r="C81" s="322">
        <v>398.07</v>
      </c>
      <c r="D81" s="322">
        <v>404.37</v>
      </c>
      <c r="E81" s="322">
        <v>377.27</v>
      </c>
      <c r="F81" s="322" t="s">
        <v>255</v>
      </c>
      <c r="G81" s="325">
        <v>1.0200000000000001E-2</v>
      </c>
      <c r="H81" s="220"/>
    </row>
    <row r="82" spans="1:8">
      <c r="A82" s="319">
        <v>44562</v>
      </c>
      <c r="B82" s="322">
        <v>362.86</v>
      </c>
      <c r="C82" s="322">
        <v>398.84</v>
      </c>
      <c r="D82" s="322">
        <v>402.07</v>
      </c>
      <c r="E82" s="322">
        <v>333.98</v>
      </c>
      <c r="F82" s="322" t="s">
        <v>254</v>
      </c>
      <c r="G82" s="325">
        <v>-8.7499999999999994E-2</v>
      </c>
      <c r="H82" s="220"/>
    </row>
    <row r="83" spans="1:8">
      <c r="A83" s="319">
        <v>44593</v>
      </c>
      <c r="B83" s="322">
        <v>346.62</v>
      </c>
      <c r="C83" s="322">
        <v>364.24</v>
      </c>
      <c r="D83" s="322">
        <v>369.91</v>
      </c>
      <c r="E83" s="322">
        <v>318.08999999999997</v>
      </c>
      <c r="F83" s="322" t="s">
        <v>253</v>
      </c>
      <c r="G83" s="325">
        <v>-4.48E-2</v>
      </c>
      <c r="H83" s="220"/>
    </row>
    <row r="84" spans="1:8">
      <c r="A84" s="319">
        <v>44621</v>
      </c>
      <c r="B84" s="322">
        <v>362.35</v>
      </c>
      <c r="C84" s="322">
        <v>345.57</v>
      </c>
      <c r="D84" s="322">
        <v>371.64</v>
      </c>
      <c r="E84" s="322">
        <v>317.27999999999997</v>
      </c>
      <c r="F84" s="322" t="s">
        <v>252</v>
      </c>
      <c r="G84" s="325">
        <v>4.5400000000000003E-2</v>
      </c>
      <c r="H84" s="220"/>
    </row>
    <row r="85" spans="1:8">
      <c r="A85" s="319">
        <v>44652</v>
      </c>
      <c r="B85" s="322">
        <v>313.08999999999997</v>
      </c>
      <c r="C85" s="322">
        <v>362.62</v>
      </c>
      <c r="D85" s="322">
        <v>369.12</v>
      </c>
      <c r="E85" s="322">
        <v>312.44</v>
      </c>
      <c r="F85" s="322" t="s">
        <v>251</v>
      </c>
      <c r="G85" s="325">
        <v>-0.13600000000000001</v>
      </c>
      <c r="H85" s="220"/>
    </row>
    <row r="86" spans="1:8">
      <c r="A86" s="319">
        <v>44682</v>
      </c>
      <c r="B86" s="322">
        <v>308.12</v>
      </c>
      <c r="C86" s="322">
        <v>312.67</v>
      </c>
      <c r="D86" s="322">
        <v>330.12</v>
      </c>
      <c r="E86" s="322">
        <v>280.06</v>
      </c>
      <c r="F86" s="322" t="s">
        <v>250</v>
      </c>
      <c r="G86" s="325">
        <v>-1.5900000000000001E-2</v>
      </c>
      <c r="H86" s="220"/>
    </row>
    <row r="87" spans="1:8">
      <c r="A87" s="319">
        <v>44713</v>
      </c>
      <c r="B87" s="322">
        <v>280.13</v>
      </c>
      <c r="C87" s="322">
        <v>310.31</v>
      </c>
      <c r="D87" s="322">
        <v>314.39</v>
      </c>
      <c r="E87" s="322">
        <v>269.14</v>
      </c>
      <c r="F87" s="322" t="s">
        <v>247</v>
      </c>
      <c r="G87" s="325">
        <v>-9.0800000000000006E-2</v>
      </c>
      <c r="H87" s="220"/>
    </row>
    <row r="88" spans="1:8">
      <c r="A88" s="319">
        <v>44743</v>
      </c>
      <c r="B88" s="322">
        <v>315.29000000000002</v>
      </c>
      <c r="C88" s="322">
        <v>278.8</v>
      </c>
      <c r="D88" s="322">
        <v>316.22000000000003</v>
      </c>
      <c r="E88" s="322">
        <v>276.61</v>
      </c>
      <c r="F88" s="322" t="s">
        <v>249</v>
      </c>
      <c r="G88" s="325">
        <v>0.1255</v>
      </c>
      <c r="H88" s="220"/>
    </row>
    <row r="89" spans="1:8">
      <c r="A89" s="319">
        <v>44774</v>
      </c>
      <c r="B89" s="322">
        <v>299.11</v>
      </c>
      <c r="C89" s="322">
        <v>313.48</v>
      </c>
      <c r="D89" s="322">
        <v>334.24</v>
      </c>
      <c r="E89" s="322">
        <v>298.27999999999997</v>
      </c>
      <c r="F89" s="322" t="s">
        <v>230</v>
      </c>
      <c r="G89" s="325">
        <v>-5.1299999999999998E-2</v>
      </c>
      <c r="H89" s="220"/>
    </row>
    <row r="90" spans="1:8">
      <c r="A90" s="319">
        <v>44805</v>
      </c>
      <c r="B90" s="322">
        <v>267.12</v>
      </c>
      <c r="C90" s="322">
        <v>296.56</v>
      </c>
      <c r="D90" s="322">
        <v>310.92</v>
      </c>
      <c r="E90" s="322">
        <v>266.95999999999998</v>
      </c>
      <c r="F90" s="322" t="s">
        <v>248</v>
      </c>
      <c r="G90" s="325">
        <v>-0.107</v>
      </c>
      <c r="H90" s="220"/>
    </row>
    <row r="91" spans="1:8">
      <c r="A91" s="319">
        <v>44835</v>
      </c>
      <c r="B91" s="322">
        <v>277.8</v>
      </c>
      <c r="C91" s="322">
        <v>268.93</v>
      </c>
      <c r="D91" s="322">
        <v>284.45</v>
      </c>
      <c r="E91" s="322">
        <v>254.13</v>
      </c>
      <c r="F91" s="322" t="s">
        <v>247</v>
      </c>
      <c r="G91" s="325">
        <v>0.04</v>
      </c>
      <c r="H91" s="220"/>
    </row>
    <row r="92" spans="1:8">
      <c r="A92" s="319">
        <v>44866</v>
      </c>
      <c r="B92" s="322">
        <v>293.20999999999998</v>
      </c>
      <c r="C92" s="322">
        <v>281.35000000000002</v>
      </c>
      <c r="D92" s="322">
        <v>293.32</v>
      </c>
      <c r="E92" s="322">
        <v>258.94</v>
      </c>
      <c r="F92" s="322" t="s">
        <v>238</v>
      </c>
      <c r="G92" s="325">
        <v>5.5399999999999998E-2</v>
      </c>
      <c r="H92" s="220"/>
    </row>
    <row r="93" spans="1:8">
      <c r="A93" s="319">
        <v>44896</v>
      </c>
      <c r="B93" s="322">
        <v>266.14</v>
      </c>
      <c r="C93" s="322">
        <v>293.54000000000002</v>
      </c>
      <c r="D93" s="322">
        <v>296.72000000000003</v>
      </c>
      <c r="E93" s="322">
        <v>259.58999999999997</v>
      </c>
      <c r="F93" s="322" t="s">
        <v>246</v>
      </c>
      <c r="G93" s="325">
        <v>-9.2299999999999993E-2</v>
      </c>
      <c r="H93" s="220"/>
    </row>
    <row r="94" spans="1:8">
      <c r="A94" s="319">
        <v>44927</v>
      </c>
      <c r="B94" s="322">
        <v>294.45999999999998</v>
      </c>
      <c r="C94" s="322">
        <v>268.51</v>
      </c>
      <c r="D94" s="322">
        <v>298.10000000000002</v>
      </c>
      <c r="E94" s="322">
        <v>260.2</v>
      </c>
      <c r="F94" s="322" t="s">
        <v>245</v>
      </c>
      <c r="G94" s="325">
        <v>0.10639999999999999</v>
      </c>
      <c r="H94" s="220"/>
    </row>
    <row r="95" spans="1:8">
      <c r="A95" s="319">
        <v>44958</v>
      </c>
      <c r="B95" s="322">
        <v>293.41000000000003</v>
      </c>
      <c r="C95" s="322">
        <v>294.26</v>
      </c>
      <c r="D95" s="322">
        <v>313.52</v>
      </c>
      <c r="E95" s="322">
        <v>289.89999999999998</v>
      </c>
      <c r="F95" s="322" t="s">
        <v>244</v>
      </c>
      <c r="G95" s="325">
        <v>-3.5999999999999999E-3</v>
      </c>
      <c r="H95" s="220"/>
    </row>
    <row r="96" spans="1:8">
      <c r="A96" s="319">
        <v>44986</v>
      </c>
      <c r="B96" s="322">
        <v>320.76</v>
      </c>
      <c r="C96" s="322">
        <v>293.11</v>
      </c>
      <c r="D96" s="322">
        <v>321</v>
      </c>
      <c r="E96" s="322">
        <v>285.04000000000002</v>
      </c>
      <c r="F96" s="322" t="s">
        <v>243</v>
      </c>
      <c r="G96" s="325">
        <v>9.3200000000000005E-2</v>
      </c>
      <c r="H96" s="220"/>
    </row>
    <row r="97" spans="1:8">
      <c r="A97" s="319">
        <v>45017</v>
      </c>
      <c r="B97" s="322">
        <v>322.39</v>
      </c>
      <c r="C97" s="322">
        <v>318.60000000000002</v>
      </c>
      <c r="D97" s="322">
        <v>322.48</v>
      </c>
      <c r="E97" s="322">
        <v>309.73</v>
      </c>
      <c r="F97" s="322" t="s">
        <v>242</v>
      </c>
      <c r="G97" s="325">
        <v>5.1000000000000004E-3</v>
      </c>
      <c r="H97" s="220"/>
    </row>
    <row r="98" spans="1:8">
      <c r="A98" s="319">
        <v>45047</v>
      </c>
      <c r="B98" s="322">
        <v>347.81</v>
      </c>
      <c r="C98" s="322">
        <v>321.92</v>
      </c>
      <c r="D98" s="322">
        <v>353.74</v>
      </c>
      <c r="E98" s="322">
        <v>314.95</v>
      </c>
      <c r="F98" s="322" t="s">
        <v>241</v>
      </c>
      <c r="G98" s="325">
        <v>7.8799999999999995E-2</v>
      </c>
      <c r="H98" s="220"/>
    </row>
    <row r="99" spans="1:8">
      <c r="A99" s="319">
        <v>45078</v>
      </c>
      <c r="B99" s="322">
        <v>369.23</v>
      </c>
      <c r="C99" s="322">
        <v>347.55</v>
      </c>
      <c r="D99" s="322">
        <v>372.65</v>
      </c>
      <c r="E99" s="322">
        <v>346.48</v>
      </c>
      <c r="F99" s="322" t="s">
        <v>240</v>
      </c>
      <c r="G99" s="325">
        <v>6.1600000000000002E-2</v>
      </c>
      <c r="H99" s="220"/>
    </row>
    <row r="100" spans="1:8">
      <c r="A100" s="319">
        <v>45108</v>
      </c>
      <c r="B100" s="322">
        <v>383.48</v>
      </c>
      <c r="C100" s="322">
        <v>369.88</v>
      </c>
      <c r="D100" s="322">
        <v>387.78</v>
      </c>
      <c r="E100" s="322">
        <v>363.22</v>
      </c>
      <c r="F100" s="322" t="s">
        <v>239</v>
      </c>
      <c r="G100" s="325">
        <v>3.8600000000000002E-2</v>
      </c>
      <c r="H100" s="220"/>
    </row>
    <row r="101" spans="1:8">
      <c r="A101" s="319">
        <v>45139</v>
      </c>
      <c r="B101" s="322">
        <v>377.79</v>
      </c>
      <c r="C101" s="322">
        <v>382.11</v>
      </c>
      <c r="D101" s="322">
        <v>383.36</v>
      </c>
      <c r="E101" s="322">
        <v>354.52</v>
      </c>
      <c r="F101" s="322" t="s">
        <v>238</v>
      </c>
      <c r="G101" s="325">
        <v>-1.4800000000000001E-2</v>
      </c>
      <c r="H101" s="220"/>
    </row>
    <row r="102" spans="1:8">
      <c r="A102" s="319">
        <v>45170</v>
      </c>
      <c r="B102" s="322">
        <v>358.08</v>
      </c>
      <c r="C102" s="322">
        <v>380.2</v>
      </c>
      <c r="D102" s="322">
        <v>380.63</v>
      </c>
      <c r="E102" s="322">
        <v>351.18</v>
      </c>
      <c r="F102" s="322" t="s">
        <v>237</v>
      </c>
      <c r="G102" s="325">
        <v>-5.2200000000000003E-2</v>
      </c>
      <c r="H102" s="220"/>
    </row>
    <row r="103" spans="1:8">
      <c r="A103" s="319">
        <v>45200</v>
      </c>
      <c r="B103" s="322">
        <v>350.69</v>
      </c>
      <c r="C103" s="322">
        <v>358.35</v>
      </c>
      <c r="D103" s="322">
        <v>373.54</v>
      </c>
      <c r="E103" s="322">
        <v>342.17</v>
      </c>
      <c r="F103" s="322" t="s">
        <v>236</v>
      </c>
      <c r="G103" s="325">
        <v>-2.07E-2</v>
      </c>
      <c r="H103" s="220"/>
    </row>
    <row r="104" spans="1:8">
      <c r="A104" s="319">
        <v>45231</v>
      </c>
      <c r="B104" s="322">
        <v>388.63</v>
      </c>
      <c r="C104" s="322">
        <v>351.54</v>
      </c>
      <c r="D104" s="322">
        <v>393.93</v>
      </c>
      <c r="E104" s="322">
        <v>351.43</v>
      </c>
      <c r="F104" s="322" t="s">
        <v>235</v>
      </c>
      <c r="G104" s="325">
        <v>0.1082</v>
      </c>
      <c r="H104" s="220"/>
    </row>
    <row r="105" spans="1:8">
      <c r="A105" s="319">
        <v>45261</v>
      </c>
      <c r="B105" s="322">
        <v>409.52</v>
      </c>
      <c r="C105" s="322">
        <v>387.55</v>
      </c>
      <c r="D105" s="322">
        <v>412.92</v>
      </c>
      <c r="E105" s="322">
        <v>382.46</v>
      </c>
      <c r="F105" s="322" t="s">
        <v>234</v>
      </c>
      <c r="G105" s="325">
        <v>5.3800000000000001E-2</v>
      </c>
      <c r="H105" s="220"/>
    </row>
    <row r="106" spans="1:8">
      <c r="A106" s="319">
        <v>45292</v>
      </c>
      <c r="B106" s="322">
        <v>416.97</v>
      </c>
      <c r="C106" s="322">
        <v>405.84</v>
      </c>
      <c r="D106" s="322">
        <v>429.85</v>
      </c>
      <c r="E106" s="322">
        <v>395.34</v>
      </c>
      <c r="F106" s="322" t="s">
        <v>233</v>
      </c>
      <c r="G106" s="325">
        <v>1.8200000000000001E-2</v>
      </c>
      <c r="H106" s="220"/>
    </row>
    <row r="107" spans="1:8">
      <c r="A107" s="319">
        <v>45323</v>
      </c>
      <c r="B107" s="322">
        <v>439</v>
      </c>
      <c r="C107" s="322">
        <v>418.79</v>
      </c>
      <c r="D107" s="322">
        <v>440.59</v>
      </c>
      <c r="E107" s="322">
        <v>417.81</v>
      </c>
      <c r="F107" s="322" t="s">
        <v>232</v>
      </c>
      <c r="G107" s="325">
        <v>5.28E-2</v>
      </c>
      <c r="H107" s="220"/>
    </row>
    <row r="108" spans="1:8">
      <c r="A108" s="319">
        <v>45352</v>
      </c>
      <c r="B108" s="322">
        <v>444.01</v>
      </c>
      <c r="C108" s="322">
        <v>439.9</v>
      </c>
      <c r="D108" s="322">
        <v>449.34</v>
      </c>
      <c r="E108" s="322">
        <v>432.74</v>
      </c>
      <c r="F108" s="322" t="s">
        <v>231</v>
      </c>
      <c r="G108" s="325">
        <v>1.14E-2</v>
      </c>
      <c r="H108" s="220"/>
    </row>
    <row r="109" spans="1:8">
      <c r="A109" s="319">
        <v>45383</v>
      </c>
      <c r="B109" s="322">
        <v>424.59</v>
      </c>
      <c r="C109" s="322">
        <v>444.97</v>
      </c>
      <c r="D109" s="322">
        <v>447.53</v>
      </c>
      <c r="E109" s="322">
        <v>413.07</v>
      </c>
      <c r="F109" s="322" t="s">
        <v>230</v>
      </c>
      <c r="G109" s="325">
        <v>-4.3700000000000003E-2</v>
      </c>
      <c r="H109" s="220"/>
    </row>
    <row r="110" spans="1:8">
      <c r="A110" s="319">
        <v>45413</v>
      </c>
      <c r="B110" s="322">
        <v>450.71</v>
      </c>
      <c r="C110" s="322">
        <v>423.15</v>
      </c>
      <c r="D110" s="322">
        <v>460.58</v>
      </c>
      <c r="E110" s="322">
        <v>420.63</v>
      </c>
      <c r="F110" s="322" t="s">
        <v>229</v>
      </c>
      <c r="G110" s="325">
        <v>6.1499999999999999E-2</v>
      </c>
      <c r="H110" s="220"/>
    </row>
    <row r="111" spans="1:8">
      <c r="A111" s="319">
        <v>45444</v>
      </c>
      <c r="B111" s="322">
        <v>479.11</v>
      </c>
      <c r="C111" s="322">
        <v>454.57</v>
      </c>
      <c r="D111" s="322">
        <v>487.2</v>
      </c>
      <c r="E111" s="322">
        <v>447.9</v>
      </c>
      <c r="F111" s="322" t="s">
        <v>228</v>
      </c>
      <c r="G111" s="325">
        <v>6.3E-2</v>
      </c>
      <c r="H111" s="220"/>
    </row>
    <row r="112" spans="1:8">
      <c r="A112" s="319">
        <v>45474</v>
      </c>
      <c r="B112" s="322">
        <v>471.07</v>
      </c>
      <c r="C112" s="322">
        <v>480.04</v>
      </c>
      <c r="D112" s="322">
        <v>503.52</v>
      </c>
      <c r="E112" s="322">
        <v>454.15</v>
      </c>
      <c r="F112" s="322" t="s">
        <v>227</v>
      </c>
      <c r="G112" s="325">
        <v>-1.6799999999999999E-2</v>
      </c>
      <c r="H112" s="220"/>
    </row>
    <row r="113" spans="1:8">
      <c r="A113" s="319">
        <v>45505</v>
      </c>
      <c r="B113" s="322">
        <v>476.27</v>
      </c>
      <c r="C113" s="322">
        <v>471.76</v>
      </c>
      <c r="D113" s="322">
        <v>485.54</v>
      </c>
      <c r="E113" s="322">
        <v>423.45</v>
      </c>
      <c r="F113" s="322" t="s">
        <v>226</v>
      </c>
      <c r="G113" s="325">
        <v>1.0999999999999999E-2</v>
      </c>
      <c r="H113" s="220"/>
    </row>
    <row r="114" spans="1:8">
      <c r="A114" s="319">
        <v>45536</v>
      </c>
      <c r="B114" s="322">
        <v>488.07</v>
      </c>
      <c r="C114" s="322">
        <v>473.2</v>
      </c>
      <c r="D114" s="322">
        <v>493.7</v>
      </c>
      <c r="E114" s="322">
        <v>448.19</v>
      </c>
      <c r="F114" s="322" t="s">
        <v>225</v>
      </c>
      <c r="G114" s="325">
        <v>2.4799999999999999E-2</v>
      </c>
      <c r="H114" s="220"/>
    </row>
    <row r="115" spans="1:8">
      <c r="A115" s="319">
        <v>45566</v>
      </c>
      <c r="B115" s="322">
        <v>483.85</v>
      </c>
      <c r="C115" s="322">
        <v>487.7</v>
      </c>
      <c r="D115" s="322">
        <v>501.35</v>
      </c>
      <c r="E115" s="322">
        <v>477.4</v>
      </c>
      <c r="F115" s="322" t="s">
        <v>224</v>
      </c>
      <c r="G115" s="325">
        <v>-8.6E-3</v>
      </c>
      <c r="H115" s="220"/>
    </row>
    <row r="116" spans="1:8">
      <c r="A116" s="319">
        <v>45597</v>
      </c>
      <c r="B116" s="322">
        <v>509.74</v>
      </c>
      <c r="C116" s="322">
        <v>485.5</v>
      </c>
      <c r="D116" s="322">
        <v>515.58000000000004</v>
      </c>
      <c r="E116" s="322">
        <v>484.26</v>
      </c>
      <c r="F116" s="322" t="s">
        <v>223</v>
      </c>
      <c r="G116" s="325">
        <v>5.3499999999999999E-2</v>
      </c>
      <c r="H116" s="220"/>
    </row>
    <row r="117" spans="1:8">
      <c r="A117" s="319">
        <v>45627</v>
      </c>
      <c r="B117" s="322">
        <v>511.23</v>
      </c>
      <c r="C117" s="322">
        <v>511.01</v>
      </c>
      <c r="D117" s="322">
        <v>539.15</v>
      </c>
      <c r="E117" s="322">
        <v>509.29</v>
      </c>
      <c r="F117" s="322" t="s">
        <v>222</v>
      </c>
      <c r="G117" s="325">
        <v>2.8999999999999998E-3</v>
      </c>
      <c r="H117" s="220"/>
    </row>
    <row r="118" spans="1:8">
      <c r="A118" s="319">
        <v>45658</v>
      </c>
      <c r="B118" s="322">
        <v>522.29</v>
      </c>
      <c r="C118" s="322">
        <v>514.29999999999995</v>
      </c>
      <c r="D118" s="322">
        <v>533.82000000000005</v>
      </c>
      <c r="E118" s="322">
        <v>499.7</v>
      </c>
      <c r="F118" s="322" t="s">
        <v>221</v>
      </c>
      <c r="G118" s="325">
        <v>2.1600000000000001E-2</v>
      </c>
      <c r="H118" s="220"/>
    </row>
    <row r="119" spans="1:8">
      <c r="A119" s="319">
        <v>45689</v>
      </c>
      <c r="B119" s="322">
        <v>508.17</v>
      </c>
      <c r="C119" s="322">
        <v>513.47</v>
      </c>
      <c r="D119" s="322">
        <v>540.80999999999995</v>
      </c>
      <c r="E119" s="322">
        <v>496.93</v>
      </c>
      <c r="F119" s="322" t="s">
        <v>220</v>
      </c>
      <c r="G119" s="325">
        <v>-2.7E-2</v>
      </c>
      <c r="H119" s="220"/>
    </row>
    <row r="120" spans="1:8">
      <c r="A120" s="319">
        <v>45717</v>
      </c>
      <c r="B120" s="322">
        <v>468.92</v>
      </c>
      <c r="C120" s="322">
        <v>511.52</v>
      </c>
      <c r="D120" s="322">
        <v>513.04</v>
      </c>
      <c r="E120" s="322">
        <v>457.33</v>
      </c>
      <c r="F120" s="322" t="s">
        <v>219</v>
      </c>
      <c r="G120" s="325">
        <v>-7.7200000000000005E-2</v>
      </c>
      <c r="H120" s="220"/>
    </row>
    <row r="121" spans="1:8" ht="16" thickBot="1">
      <c r="A121" s="320">
        <v>45748</v>
      </c>
      <c r="B121" s="323">
        <v>444.1</v>
      </c>
      <c r="C121" s="323">
        <v>467.32</v>
      </c>
      <c r="D121" s="323">
        <v>479.54</v>
      </c>
      <c r="E121" s="323">
        <v>402.52</v>
      </c>
      <c r="F121" s="323" t="s">
        <v>218</v>
      </c>
      <c r="G121" s="326">
        <v>-5.2900000000000003E-2</v>
      </c>
      <c r="H121" s="2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Capital Allocation</vt:lpstr>
      <vt:lpstr>Asset Classes Allocation</vt:lpstr>
      <vt:lpstr>Security Allocation</vt:lpstr>
      <vt:lpstr>Data. Securities</vt:lpstr>
      <vt:lpstr>Data. Bond Duration &amp; Convexity</vt:lpstr>
      <vt:lpstr>QQQ ETF Stock 10yrs Prices </vt:lpstr>
      <vt:lpstr>'Asset Classes Allocation'!Print_Area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Ahn</dc:creator>
  <cp:lastModifiedBy>GIADA SIMBARI</cp:lastModifiedBy>
  <dcterms:created xsi:type="dcterms:W3CDTF">2024-03-23T17:37:03Z</dcterms:created>
  <dcterms:modified xsi:type="dcterms:W3CDTF">2025-04-27T03:03:50Z</dcterms:modified>
</cp:coreProperties>
</file>